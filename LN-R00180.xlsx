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onehealthltd.sharepoint.com/sites/WholeTeam/Main Shared Library/Technical Departments/Manufacturing/Quality/QA Gate - Excel Files/Outer Layer/"/>
    </mc:Choice>
  </mc:AlternateContent>
  <xr:revisionPtr revIDLastSave="0" documentId="13_ncr:1_{102C8122-2872-4E51-A4DC-927EEA40B13B}" xr6:coauthVersionLast="47" xr6:coauthVersionMax="47" xr10:uidLastSave="{00000000-0000-0000-0000-000000000000}"/>
  <bookViews>
    <workbookView xWindow="57480" yWindow="-120" windowWidth="29040" windowHeight="15720" xr2:uid="{3450984D-0516-491B-815D-95A521D8712C}"/>
  </bookViews>
  <sheets>
    <sheet name="QA Gate " sheetId="1" r:id="rId1"/>
    <sheet name="Failure Analysis" sheetId="2" r:id="rId2"/>
  </sheets>
  <definedNames>
    <definedName name="_xlnm._FilterDatabase" localSheetId="0" hidden="1">'QA Gate '!$A$1:$F$69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 a="1"/>
  <c r="D6" i="2" s="1"/>
  <c r="D7" i="2" a="1"/>
  <c r="D7" i="2" s="1"/>
  <c r="D8" i="2" a="1"/>
  <c r="D8" i="2" s="1"/>
  <c r="D5" i="2" l="1" a="1"/>
  <c r="D5" i="2" s="1"/>
  <c r="D10" i="2" s="1"/>
  <c r="F32" i="1"/>
  <c r="F4" i="1"/>
  <c r="F33" i="1"/>
  <c r="F5" i="1"/>
  <c r="F34" i="1"/>
  <c r="F6" i="1"/>
  <c r="F35" i="1"/>
  <c r="F7" i="1"/>
  <c r="F36" i="1"/>
  <c r="F8" i="1"/>
  <c r="F37" i="1"/>
  <c r="F9" i="1"/>
  <c r="F31" i="1"/>
  <c r="F30" i="1"/>
  <c r="F38" i="1"/>
  <c r="F10" i="1"/>
  <c r="F2" i="1"/>
  <c r="F39" i="1"/>
  <c r="F11" i="1"/>
  <c r="F40" i="1"/>
  <c r="F12" i="1"/>
  <c r="F41" i="1"/>
  <c r="F13" i="1"/>
  <c r="F42" i="1"/>
  <c r="F14" i="1"/>
  <c r="F43" i="1"/>
  <c r="F15" i="1"/>
  <c r="F44" i="1"/>
  <c r="F16" i="1"/>
  <c r="F45" i="1"/>
  <c r="F17" i="1"/>
  <c r="F46" i="1"/>
  <c r="F18" i="1"/>
  <c r="F47" i="1"/>
  <c r="F19" i="1"/>
  <c r="F48" i="1"/>
  <c r="F20" i="1"/>
  <c r="F49" i="1"/>
  <c r="F21" i="1"/>
  <c r="F50" i="1"/>
  <c r="F22" i="1"/>
  <c r="F51" i="1"/>
  <c r="F23" i="1"/>
  <c r="F52" i="1"/>
  <c r="F24" i="1"/>
  <c r="F53" i="1"/>
  <c r="F25" i="1"/>
  <c r="F54" i="1"/>
  <c r="F26" i="1"/>
  <c r="F55" i="1"/>
  <c r="F27" i="1"/>
  <c r="F56" i="1"/>
  <c r="F28" i="1"/>
  <c r="F57" i="1"/>
  <c r="F29" i="1"/>
  <c r="F58" i="1"/>
  <c r="F64" i="1"/>
  <c r="F59" i="1"/>
  <c r="F65" i="1"/>
  <c r="F60" i="1"/>
  <c r="F61" i="1"/>
  <c r="F62" i="1"/>
  <c r="F63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<sst xmlns="http://schemas.openxmlformats.org/spreadsheetml/2006/main" count="105" uniqueCount="90">
  <si>
    <t>Sensor ID</t>
  </si>
  <si>
    <t>QE Failure Mode</t>
  </si>
  <si>
    <t>Final Result</t>
  </si>
  <si>
    <t>Fibre</t>
  </si>
  <si>
    <t>Lumps</t>
  </si>
  <si>
    <t>QE Decision</t>
  </si>
  <si>
    <t>SME Override</t>
  </si>
  <si>
    <t>SME New Decision</t>
  </si>
  <si>
    <t>Pass</t>
  </si>
  <si>
    <t>Fail</t>
  </si>
  <si>
    <t>Category</t>
  </si>
  <si>
    <t>Count</t>
  </si>
  <si>
    <t>Visual Contamination Failures</t>
  </si>
  <si>
    <t>Imaging System Failures</t>
  </si>
  <si>
    <t>Failure Mode Analysis</t>
  </si>
  <si>
    <t>Mean WE Thickness</t>
  </si>
  <si>
    <t>Max Thickness</t>
  </si>
  <si>
    <t>Two Needles Shown on Image</t>
  </si>
  <si>
    <t>Bent Needle</t>
  </si>
  <si>
    <t>Outer Layer Failures - Process Specific</t>
  </si>
  <si>
    <t>Missing Image</t>
  </si>
  <si>
    <t>Sensor Removed</t>
  </si>
  <si>
    <t>Other Failures (Pre OL, Sensor Removed)</t>
  </si>
  <si>
    <t>Measurement Error</t>
  </si>
  <si>
    <t>Z32A-575-A7</t>
  </si>
  <si>
    <t>Z32A-566-A2</t>
  </si>
  <si>
    <t>Z32A-575-B2</t>
  </si>
  <si>
    <t>Z32A-566-A3</t>
  </si>
  <si>
    <t>Z32A-575-B5</t>
  </si>
  <si>
    <t>Z32A-566-A5</t>
  </si>
  <si>
    <t>Z32A-575-B7</t>
  </si>
  <si>
    <t>Z32A-566-A6</t>
  </si>
  <si>
    <t>Z32A-575-C1</t>
  </si>
  <si>
    <t>Z32A-566-B1</t>
  </si>
  <si>
    <t>Z32A-575-C3</t>
  </si>
  <si>
    <t>Z32A-566-B3</t>
  </si>
  <si>
    <t>Z32A-575-C4</t>
  </si>
  <si>
    <t>Z32A-566-B4</t>
  </si>
  <si>
    <t>Z32A-575-C5</t>
  </si>
  <si>
    <t>Z32A-566-B5</t>
  </si>
  <si>
    <t>Z32A-575-D2</t>
  </si>
  <si>
    <t>Z32A-566-B6</t>
  </si>
  <si>
    <t>Z32A-575-E4</t>
  </si>
  <si>
    <t>Z32A-566-B7</t>
  </si>
  <si>
    <t>Z32A-575-E6</t>
  </si>
  <si>
    <t>Z32A-566-C1</t>
  </si>
  <si>
    <t>Z32A-575-F5</t>
  </si>
  <si>
    <t>Z32A-566-C2</t>
  </si>
  <si>
    <t>Z32A-575-F6</t>
  </si>
  <si>
    <t>Z32A-566-C3</t>
  </si>
  <si>
    <t>Z32A-575-F8</t>
  </si>
  <si>
    <t>Z32A-566-C4</t>
  </si>
  <si>
    <t>Z32A-576-A7</t>
  </si>
  <si>
    <t>Z32A-566-C5</t>
  </si>
  <si>
    <t>Z32A-576-A8</t>
  </si>
  <si>
    <t>Z32A-566-C6</t>
  </si>
  <si>
    <t>Z32A-576-B1</t>
  </si>
  <si>
    <t>Z32A-566-C7</t>
  </si>
  <si>
    <t>Z32A-576-B2</t>
  </si>
  <si>
    <t>Z32A-566-C8</t>
  </si>
  <si>
    <t>Z32A-576-B3</t>
  </si>
  <si>
    <t>Z32A-566-D1</t>
  </si>
  <si>
    <t>Z32A-576-B8</t>
  </si>
  <si>
    <t>Z32A-566-D2</t>
  </si>
  <si>
    <t>Z32A-576-C1</t>
  </si>
  <si>
    <t>Z32A-566-D5</t>
  </si>
  <si>
    <t>Z32A-576-C2</t>
  </si>
  <si>
    <t>Z32A-566-D6</t>
  </si>
  <si>
    <t>Z32A-576-C3</t>
  </si>
  <si>
    <t>Z32A-566-E5</t>
  </si>
  <si>
    <t>Z32A-576-C5</t>
  </si>
  <si>
    <t>Z32A-566-E6</t>
  </si>
  <si>
    <t>Z32A-576-D1</t>
  </si>
  <si>
    <t>Z32A-566-E7</t>
  </si>
  <si>
    <t>Z32A-576-D2</t>
  </si>
  <si>
    <t>Z32A-566-F5</t>
  </si>
  <si>
    <t>Z32A-576-D5</t>
  </si>
  <si>
    <t>Z32A-566-F6</t>
  </si>
  <si>
    <t>Z32A-576-D6</t>
  </si>
  <si>
    <t>Z32A-566-F7</t>
  </si>
  <si>
    <t>Z32A-576-D7</t>
  </si>
  <si>
    <t>Z32D-596-F7</t>
  </si>
  <si>
    <t>Z32A-576-E7</t>
  </si>
  <si>
    <t>Z32D-596-F8</t>
  </si>
  <si>
    <t>Z32A-576-E8</t>
  </si>
  <si>
    <t>Z32A-576-F3</t>
  </si>
  <si>
    <t>Z32A-576-F5</t>
  </si>
  <si>
    <t>Z32A-576-F6</t>
  </si>
  <si>
    <t>Outer Layer Failure Modes</t>
  </si>
  <si>
    <t>Total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</si>
</sst>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0" xfId="0" applyFont="1"/>
    <xf numFmtId="0" fontId="3" fillId="0" borderId="0" xfId="0" applyFont="1"/>
    <xf numFmtId="0" fontId="0" fillId="0" borderId="3" xfId="0" applyBorder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Failure</a:t>
            </a:r>
            <a:r>
              <a:rPr lang="en-GB" baseline="0"/>
              <a:t> Modes</a:t>
            </a:r>
            <a:endParaRPr lang="en-GB"/>
          </a:p>
        </c:rich>
      </c:tx>
      <c:layout>
        <c:manualLayout>
          <c:xMode val="edge"/>
          <c:yMode val="edge"/>
          <c:x val="0.5236101087210826"/>
          <c:y val="2.3367136973741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7-44BD-8B53-1D8FF176D37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0-4E27-B92D-EA007A8FB86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E7-44BD-8B53-1D8FF176D37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2A-4247-A4E7-18284FC585BB}"/>
              </c:ext>
            </c:extLst>
          </c:dPt>
          <c:dLbls>
            <c:dLbl>
              <c:idx val="0"/>
              <c:layout>
                <c:manualLayout>
                  <c:x val="6.3036941136567728E-2"/>
                  <c:y val="7.14621426855846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E7-44BD-8B53-1D8FF176D37C}"/>
                </c:ext>
              </c:extLst>
            </c:dLbl>
            <c:dLbl>
              <c:idx val="1"/>
              <c:layout>
                <c:manualLayout>
                  <c:x val="5.9914461683549594E-2"/>
                  <c:y val="-0.1039953349702793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0-4E27-B92D-EA007A8FB867}"/>
                </c:ext>
              </c:extLst>
            </c:dLbl>
            <c:dLbl>
              <c:idx val="2"/>
              <c:layout>
                <c:manualLayout>
                  <c:x val="-0.29679893118467265"/>
                  <c:y val="-0.1053126313261247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E7-44BD-8B53-1D8FF176D37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'Failure Analysis'!$C$5:$C$8</c:f>
              <c:strCache>
                <c:ptCount val="4"/>
                <c:pt idx="0">
                  <c:v>Outer Layer Failures - Process Specific</c:v>
                </c:pt>
                <c:pt idx="1">
                  <c:v>Visual Contamination Failures</c:v>
                </c:pt>
                <c:pt idx="2">
                  <c:v>Imaging System Failures</c:v>
                </c:pt>
                <c:pt idx="3">
                  <c:v>Other Failures (Pre OL, Sensor Removed)</c:v>
                </c:pt>
              </c:strCache>
            </c:strRef>
          </c:cat>
          <c:val>
            <c:numRef>
              <c:f>'Failure Analysis'!$D$5:$D$8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0-4E27-B92D-EA007A8F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428427496632463E-2"/>
          <c:y val="0.85787187877426063"/>
          <c:w val="0.91870642734331365"/>
          <c:h val="0.1198336516585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254793</xdr:colOff>
      <xdr:row>1</xdr:row>
      <xdr:rowOff>171978</xdr:rowOff>
    </xdr:from>
    <xdr:to>
      <xdr:col>13</xdr:col>
      <xdr:colOff>224895</xdr:colOff>
      <xdr:row>19</xdr:row>
      <xdr:rowOff>46301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752B3-6F07-BEB2-7CB0-2CCD78E2E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B55475"/>
      </a:accent4>
      <a:accent5>
        <a:srgbClr val="9C85C0"/>
      </a:accent5>
      <a:accent6>
        <a:srgbClr val="58B2EA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75DD-C643-4364-845A-99F213533AF3}">
  <sheetPr filterMode="1"/>
  <dimension ref="A1:R69"/>
  <sheetViews>
    <sheetView tabSelected="1" topLeftCell="A13" zoomScale="85" workbookViewId="0">
      <selection activeCell="A2" sqref="A2:A65"/>
    </sheetView>
  </sheetViews>
  <sheetFormatPr defaultRowHeight="15" x14ac:dyDescent="0.25"/>
  <cols>
    <col min="1" max="1" width="12" bestFit="1" customWidth="1"/>
    <col min="2" max="2" width="13.85546875" customWidth="1"/>
    <col min="3" max="3" width="12.140625" customWidth="1"/>
    <col min="4" max="4" width="11.5703125" customWidth="1"/>
    <col min="5" max="5" width="16.5703125" customWidth="1"/>
    <col min="6" max="6" width="18.5703125" customWidth="1"/>
    <col min="12" max="12" width="32.5703125" bestFit="1" customWidth="1"/>
    <col min="17" max="17" width="30.42578125" bestFit="1" customWidth="1"/>
  </cols>
  <sheetData>
    <row r="1" spans="1:18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15</v>
      </c>
    </row>
    <row r="2" spans="1:18" x14ac:dyDescent="0.25">
      <c r="A2" t="s">
        <v>25</v>
      </c>
      <c r="C2" s="2" t="b">
        <v>0</v>
      </c>
      <c r="D2" s="2" t="b">
        <v>0</v>
      </c>
      <c r="F2" t="str">
        <f>IF(D2,IF(E2="","Pending SME Input",E2&amp;" (SME Override)"),IF(C2,"Fail","Pass"))</f>
        <v>Pass</v>
      </c>
      <c r="G2">
        <v>30.271550697134401</v>
      </c>
      <c r="L2" s="3" t="s">
        <v>88</v>
      </c>
      <c r="N2" t="s">
        <v>8</v>
      </c>
    </row>
    <row r="3" spans="1:18" x14ac:dyDescent="0.25">
      <c r="A3" t="s">
        <v>27</v>
      </c>
      <c r="C3" s="2" t="b">
        <v>0</v>
      </c>
      <c r="D3" s="2" t="b">
        <v>0</v>
      </c>
      <c r="F3" t="str">
        <f>IF(D3,IF(E3="","Pending SME Input",E3&amp;" (SME Override)"),IF(C3,"Fail","Pass"))</f>
        <v>Pass</v>
      </c>
      <c r="G3">
        <v>31.222427226203799</v>
      </c>
      <c r="L3" s="5" t="s">
        <v>15</v>
      </c>
      <c r="N3" t="s">
        <v>9</v>
      </c>
    </row>
    <row r="4" spans="1:18" hidden="1" x14ac:dyDescent="0.25">
      <c r="A4" t="s">
        <v>29</v>
      </c>
      <c r="B4" t="s">
        <v>3</v>
      </c>
      <c r="C4" s="2" t="b">
        <v>1</v>
      </c>
      <c r="D4" s="2" t="b">
        <v>0</v>
      </c>
      <c r="F4" t="str">
        <f>IF(D4,IF(E4="","Pending SME Input",E4&amp;" (SME Override)"),IF(C4,"Fail","Pass"))</f>
        <v>Fail</v>
      </c>
      <c r="G4">
        <v>28.434734278409</v>
      </c>
      <c r="L4" s="4" t="s">
        <v>16</v>
      </c>
    </row>
    <row r="5" spans="1:18" x14ac:dyDescent="0.25">
      <c r="A5" t="s">
        <v>31</v>
      </c>
      <c r="C5" s="2" t="b">
        <v>0</v>
      </c>
      <c r="D5" s="2" t="b">
        <v>0</v>
      </c>
      <c r="F5" t="str">
        <f>IF(D5,IF(E5="","Pending SME Input",E5&amp;" (SME Override)"),IF(C5,"Fail","Pass"))</f>
        <v>Pass</v>
      </c>
      <c r="G5">
        <v>30.245264338438499</v>
      </c>
      <c r="L5" s="4" t="s">
        <v>17</v>
      </c>
      <c r="Q5" s="8"/>
      <c r="R5" s="8"/>
    </row>
    <row r="6" spans="1:18" x14ac:dyDescent="0.25">
      <c r="A6" t="s">
        <v>33</v>
      </c>
      <c r="C6" s="2" t="b">
        <v>0</v>
      </c>
      <c r="D6" s="2" t="b">
        <v>0</v>
      </c>
      <c r="F6" t="str">
        <f>IF(D6,IF(E6="","Pending SME Input",E6&amp;" (SME Override)"),IF(C6,"Fail","Pass"))</f>
        <v>Pass</v>
      </c>
      <c r="G6">
        <v>30.25</v>
      </c>
      <c r="L6" s="4" t="s">
        <v>18</v>
      </c>
    </row>
    <row r="7" spans="1:18" x14ac:dyDescent="0.25">
      <c r="A7" t="s">
        <v>35</v>
      </c>
      <c r="C7" s="2" t="b">
        <v>0</v>
      </c>
      <c r="D7" s="2" t="b">
        <v>0</v>
      </c>
      <c r="F7" t="str">
        <f>IF(D7,IF(E7="","Pending SME Input",E7&amp;" (SME Override)"),IF(C7,"Fail","Pass"))</f>
        <v>Pass</v>
      </c>
      <c r="G7">
        <v>36.830047815357801</v>
      </c>
      <c r="L7" s="4" t="s">
        <v>3</v>
      </c>
    </row>
    <row r="8" spans="1:18" hidden="1" x14ac:dyDescent="0.25">
      <c r="A8" t="s">
        <v>37</v>
      </c>
      <c r="B8" t="s">
        <v>16</v>
      </c>
      <c r="C8" s="2" t="b">
        <v>1</v>
      </c>
      <c r="D8" s="2" t="b">
        <v>0</v>
      </c>
      <c r="F8" t="str">
        <f>IF(D8,IF(E8="","Pending SME Input",E8&amp;" (SME Override)"),IF(C8,"Fail","Pass"))</f>
        <v>Fail</v>
      </c>
      <c r="G8">
        <v>36.83</v>
      </c>
      <c r="L8" s="4" t="s">
        <v>4</v>
      </c>
    </row>
    <row r="9" spans="1:18" x14ac:dyDescent="0.25">
      <c r="A9" t="s">
        <v>39</v>
      </c>
      <c r="C9" s="2" t="b">
        <v>0</v>
      </c>
      <c r="D9" s="2" t="b">
        <v>0</v>
      </c>
      <c r="F9" t="str">
        <f>IF(D9,IF(E9="","Pending SME Input",E9&amp;" (SME Override)"),IF(C9,"Fail","Pass"))</f>
        <v>Pass</v>
      </c>
      <c r="G9">
        <v>28.0896321805489</v>
      </c>
      <c r="L9" s="4" t="s">
        <v>20</v>
      </c>
    </row>
    <row r="10" spans="1:18" hidden="1" x14ac:dyDescent="0.25">
      <c r="A10" t="s">
        <v>41</v>
      </c>
      <c r="B10" t="s">
        <v>21</v>
      </c>
      <c r="C10" s="2" t="b">
        <v>1</v>
      </c>
      <c r="D10" s="2" t="b">
        <v>0</v>
      </c>
      <c r="F10" t="str">
        <f>IF(D10,IF(E10="","Pending SME Input",E10&amp;" (SME Override)"),IF(C10,"Fail","Pass"))</f>
        <v>Fail</v>
      </c>
      <c r="L10" s="4" t="s">
        <v>21</v>
      </c>
    </row>
    <row r="11" spans="1:18" x14ac:dyDescent="0.25">
      <c r="A11" t="s">
        <v>43</v>
      </c>
      <c r="C11" s="2" t="b">
        <v>0</v>
      </c>
      <c r="D11" s="2" t="b">
        <v>0</v>
      </c>
      <c r="F11" t="str">
        <f>IF(D11,IF(E11="","Pending SME Input",E11&amp;" (SME Override)"),IF(C11,"Fail","Pass"))</f>
        <v>Pass</v>
      </c>
      <c r="G11">
        <v>30.082916853554199</v>
      </c>
      <c r="L11" s="10" t="s">
        <v>23</v>
      </c>
    </row>
    <row r="12" spans="1:18" x14ac:dyDescent="0.25">
      <c r="A12" t="s">
        <v>45</v>
      </c>
      <c r="C12" s="2" t="b">
        <v>0</v>
      </c>
      <c r="D12" s="2" t="b">
        <v>0</v>
      </c>
      <c r="F12" t="str">
        <f>IF(D12,IF(E12="","Pending SME Input",E12&amp;" (SME Override)"),IF(C12,"Fail","Pass"))</f>
        <v>Pass</v>
      </c>
      <c r="G12">
        <v>25.055850982965001</v>
      </c>
    </row>
    <row r="13" spans="1:18" x14ac:dyDescent="0.25">
      <c r="A13" t="s">
        <v>47</v>
      </c>
      <c r="C13" s="2" t="b">
        <v>0</v>
      </c>
      <c r="D13" s="2" t="b">
        <v>0</v>
      </c>
      <c r="F13" t="str">
        <f>IF(D13,IF(E13="","Pending SME Input",E13&amp;" (SME Override)"),IF(C13,"Fail","Pass"))</f>
        <v>Pass</v>
      </c>
      <c r="G13">
        <v>24.167352984119901</v>
      </c>
    </row>
    <row r="14" spans="1:18" hidden="1" x14ac:dyDescent="0.25">
      <c r="A14" t="s">
        <v>49</v>
      </c>
      <c r="B14" t="s">
        <v>18</v>
      </c>
      <c r="C14" s="2" t="b">
        <v>1</v>
      </c>
      <c r="D14" s="2" t="b">
        <v>0</v>
      </c>
      <c r="F14" t="str">
        <f>IF(D14,IF(E14="","Pending SME Input",E14&amp;" (SME Override)"),IF(C14,"Fail","Pass"))</f>
        <v>Fail</v>
      </c>
      <c r="G14">
        <v>35.655666895760604</v>
      </c>
    </row>
    <row r="15" spans="1:18" x14ac:dyDescent="0.25">
      <c r="A15" t="s">
        <v>51</v>
      </c>
      <c r="C15" s="2" t="b">
        <v>0</v>
      </c>
      <c r="D15" s="2" t="b">
        <v>0</v>
      </c>
      <c r="F15" t="str">
        <f>IF(D15,IF(E15="","Pending SME Input",E15&amp;" (SME Override)"),IF(C15,"Fail","Pass"))</f>
        <v>Pass</v>
      </c>
      <c r="G15">
        <v>25.98767851717</v>
      </c>
    </row>
    <row r="16" spans="1:18" x14ac:dyDescent="0.25">
      <c r="A16" t="s">
        <v>53</v>
      </c>
      <c r="C16" s="2" t="b">
        <v>0</v>
      </c>
      <c r="D16" s="2" t="b">
        <v>0</v>
      </c>
      <c r="F16" t="str">
        <f>IF(D16,IF(E16="","Pending SME Input",E16&amp;" (SME Override)"),IF(C16,"Fail","Pass"))</f>
        <v>Pass</v>
      </c>
      <c r="G16">
        <v>30.863641543790401</v>
      </c>
    </row>
    <row r="17" spans="1:7" x14ac:dyDescent="0.25">
      <c r="A17" t="s">
        <v>55</v>
      </c>
      <c r="C17" s="2" t="b">
        <v>0</v>
      </c>
      <c r="D17" s="2" t="b">
        <v>0</v>
      </c>
      <c r="F17" t="str">
        <f>IF(D17,IF(E17="","Pending SME Input",E17&amp;" (SME Override)"),IF(C17,"Fail","Pass"))</f>
        <v>Pass</v>
      </c>
      <c r="G17">
        <v>29.764562435657901</v>
      </c>
    </row>
    <row r="18" spans="1:7" x14ac:dyDescent="0.25">
      <c r="A18" t="s">
        <v>57</v>
      </c>
      <c r="C18" s="2" t="b">
        <v>0</v>
      </c>
      <c r="D18" s="2" t="b">
        <v>0</v>
      </c>
      <c r="F18" t="str">
        <f>IF(D18,IF(E18="","Pending SME Input",E18&amp;" (SME Override)"),IF(C18,"Fail","Pass"))</f>
        <v>Pass</v>
      </c>
      <c r="G18">
        <v>33.517934662615197</v>
      </c>
    </row>
    <row r="19" spans="1:7" x14ac:dyDescent="0.25">
      <c r="A19" t="s">
        <v>59</v>
      </c>
      <c r="C19" s="2" t="b">
        <v>0</v>
      </c>
      <c r="D19" s="2" t="b">
        <v>0</v>
      </c>
      <c r="F19" t="str">
        <f>IF(D19,IF(E19="","Pending SME Input",E19&amp;" (SME Override)"),IF(C19,"Fail","Pass"))</f>
        <v>Pass</v>
      </c>
      <c r="G19">
        <v>26.9741555565436</v>
      </c>
    </row>
    <row r="20" spans="1:7" x14ac:dyDescent="0.25">
      <c r="A20" t="s">
        <v>61</v>
      </c>
      <c r="C20" s="2" t="b">
        <v>0</v>
      </c>
      <c r="D20" s="2" t="b">
        <v>0</v>
      </c>
      <c r="F20" t="str">
        <f>IF(D20,IF(E20="","Pending SME Input",E20&amp;" (SME Override)"),IF(C20,"Fail","Pass"))</f>
        <v>Pass</v>
      </c>
      <c r="G20">
        <v>27.8216757411512</v>
      </c>
    </row>
    <row r="21" spans="1:7" x14ac:dyDescent="0.25">
      <c r="A21" t="s">
        <v>63</v>
      </c>
      <c r="C21" s="2" t="b">
        <v>0</v>
      </c>
      <c r="D21" s="2" t="b">
        <v>0</v>
      </c>
      <c r="F21" t="str">
        <f>IF(D21,IF(E21="","Pending SME Input",E21&amp;" (SME Override)"),IF(C21,"Fail","Pass"))</f>
        <v>Pass</v>
      </c>
      <c r="G21">
        <v>30.104043558046801</v>
      </c>
    </row>
    <row r="22" spans="1:7" x14ac:dyDescent="0.25">
      <c r="A22" t="s">
        <v>65</v>
      </c>
      <c r="C22" s="2" t="b">
        <v>0</v>
      </c>
      <c r="D22" s="2" t="b">
        <v>0</v>
      </c>
      <c r="F22" t="str">
        <f>IF(D22,IF(E22="","Pending SME Input",E22&amp;" (SME Override)"),IF(C22,"Fail","Pass"))</f>
        <v>Pass</v>
      </c>
      <c r="G22">
        <v>27.798252964810601</v>
      </c>
    </row>
    <row r="23" spans="1:7" x14ac:dyDescent="0.25">
      <c r="A23" t="s">
        <v>67</v>
      </c>
      <c r="C23" s="2" t="b">
        <v>0</v>
      </c>
      <c r="D23" s="2" t="b">
        <v>0</v>
      </c>
      <c r="F23" t="str">
        <f>IF(D23,IF(E23="","Pending SME Input",E23&amp;" (SME Override)"),IF(C23,"Fail","Pass"))</f>
        <v>Pass</v>
      </c>
      <c r="G23">
        <v>29.6504727773535</v>
      </c>
    </row>
    <row r="24" spans="1:7" hidden="1" x14ac:dyDescent="0.25">
      <c r="A24" t="s">
        <v>69</v>
      </c>
      <c r="B24" t="s">
        <v>21</v>
      </c>
      <c r="C24" s="2" t="b">
        <v>1</v>
      </c>
      <c r="D24" s="2" t="b">
        <v>0</v>
      </c>
      <c r="F24" t="str">
        <f>IF(D24,IF(E24="","Pending SME Input",E24&amp;" (SME Override)"),IF(C24,"Fail","Pass"))</f>
        <v>Fail</v>
      </c>
      <c r="G24">
        <v>30.933275981179399</v>
      </c>
    </row>
    <row r="25" spans="1:7" x14ac:dyDescent="0.25">
      <c r="A25" t="s">
        <v>71</v>
      </c>
      <c r="C25" s="2" t="b">
        <v>0</v>
      </c>
      <c r="D25" s="2" t="b">
        <v>0</v>
      </c>
      <c r="F25" t="str">
        <f>IF(D25,IF(E25="","Pending SME Input",E25&amp;" (SME Override)"),IF(C25,"Fail","Pass"))</f>
        <v>Pass</v>
      </c>
      <c r="G25">
        <v>29.102778062719398</v>
      </c>
    </row>
    <row r="26" spans="1:7" x14ac:dyDescent="0.25">
      <c r="A26" t="s">
        <v>73</v>
      </c>
      <c r="C26" s="2" t="b">
        <v>0</v>
      </c>
      <c r="D26" s="2" t="b">
        <v>0</v>
      </c>
      <c r="F26" t="str">
        <f>IF(D26,IF(E26="","Pending SME Input",E26&amp;" (SME Override)"),IF(C26,"Fail","Pass"))</f>
        <v>Pass</v>
      </c>
      <c r="G26">
        <v>28.5512572026262</v>
      </c>
    </row>
    <row r="27" spans="1:7" x14ac:dyDescent="0.25">
      <c r="A27" t="s">
        <v>75</v>
      </c>
      <c r="C27" s="2" t="b">
        <v>0</v>
      </c>
      <c r="D27" s="2" t="b">
        <v>0</v>
      </c>
      <c r="F27" t="str">
        <f>IF(D27,IF(E27="","Pending SME Input",E27&amp;" (SME Override)"),IF(C27,"Fail","Pass"))</f>
        <v>Pass</v>
      </c>
      <c r="G27">
        <v>26.331042564323798</v>
      </c>
    </row>
    <row r="28" spans="1:7" x14ac:dyDescent="0.25">
      <c r="A28" t="s">
        <v>77</v>
      </c>
      <c r="C28" s="2" t="b">
        <v>0</v>
      </c>
      <c r="D28" s="2" t="b">
        <v>0</v>
      </c>
      <c r="F28" t="str">
        <f>IF(D28,IF(E28="","Pending SME Input",E28&amp;" (SME Override)"),IF(C28,"Fail","Pass"))</f>
        <v>Pass</v>
      </c>
      <c r="G28">
        <v>25.552237954002798</v>
      </c>
    </row>
    <row r="29" spans="1:7" x14ac:dyDescent="0.25">
      <c r="A29" t="s">
        <v>79</v>
      </c>
      <c r="C29" s="2" t="b">
        <v>0</v>
      </c>
      <c r="D29" s="2" t="b">
        <v>0</v>
      </c>
      <c r="F29" t="str">
        <f>IF(D29,IF(E29="","Pending SME Input",E29&amp;" (SME Override)"),IF(C29,"Fail","Pass"))</f>
        <v>Pass</v>
      </c>
      <c r="G29">
        <v>28.376449647859999</v>
      </c>
    </row>
    <row r="30" spans="1:7" hidden="1" x14ac:dyDescent="0.25">
      <c r="A30" t="s">
        <v>24</v>
      </c>
      <c r="B30" t="s">
        <v>21</v>
      </c>
      <c r="C30" s="2" t="b">
        <v>1</v>
      </c>
      <c r="D30" s="2" t="b">
        <v>0</v>
      </c>
      <c r="F30" t="str">
        <f>IF(D30,IF(E30="","Pending SME Input",E30&amp;" (SME Override)"),IF(C30,"Fail","Pass"))</f>
        <v>Fail</v>
      </c>
      <c r="G30">
        <v>25.9384654472004</v>
      </c>
    </row>
    <row r="31" spans="1:7" x14ac:dyDescent="0.25">
      <c r="A31" t="s">
        <v>26</v>
      </c>
      <c r="C31" s="2" t="b">
        <v>0</v>
      </c>
      <c r="D31" s="2" t="b">
        <v>0</v>
      </c>
      <c r="F31" t="str">
        <f>IF(D31,IF(E31="","Pending SME Input",E31&amp;" (SME Override)"),IF(C31,"Fail","Pass"))</f>
        <v>Pass</v>
      </c>
      <c r="G31">
        <v>28.526796988417502</v>
      </c>
    </row>
    <row r="32" spans="1:7" x14ac:dyDescent="0.25">
      <c r="A32" t="s">
        <v>28</v>
      </c>
      <c r="C32" s="2" t="b">
        <v>0</v>
      </c>
      <c r="D32" s="2" t="b">
        <v>0</v>
      </c>
      <c r="F32" t="str">
        <f>IF(D32,IF(E32="","Pending SME Input",E32&amp;" (SME Override)"),IF(C32,"Fail","Pass"))</f>
        <v>Pass</v>
      </c>
      <c r="G32">
        <v>25.001109034111298</v>
      </c>
    </row>
    <row r="33" spans="1:7" x14ac:dyDescent="0.25">
      <c r="A33" t="s">
        <v>30</v>
      </c>
      <c r="C33" s="2" t="b">
        <v>0</v>
      </c>
      <c r="D33" s="2" t="b">
        <v>0</v>
      </c>
      <c r="F33" t="str">
        <f>IF(D33,IF(E33="","Pending SME Input",E33&amp;" (SME Override)"),IF(C33,"Fail","Pass"))</f>
        <v>Pass</v>
      </c>
      <c r="G33">
        <v>26.909730214186801</v>
      </c>
    </row>
    <row r="34" spans="1:7" x14ac:dyDescent="0.25">
      <c r="A34" t="s">
        <v>32</v>
      </c>
      <c r="C34" s="2" t="b">
        <v>0</v>
      </c>
      <c r="D34" s="2" t="b">
        <v>0</v>
      </c>
      <c r="F34" t="str">
        <f>IF(D34,IF(E34="","Pending SME Input",E34&amp;" (SME Override)"),IF(C34,"Fail","Pass"))</f>
        <v>Pass</v>
      </c>
      <c r="G34">
        <v>24.3347605209226</v>
      </c>
    </row>
    <row r="35" spans="1:7" x14ac:dyDescent="0.25">
      <c r="A35" t="s">
        <v>34</v>
      </c>
      <c r="C35" s="2" t="b">
        <v>0</v>
      </c>
      <c r="D35" s="2" t="b">
        <v>0</v>
      </c>
      <c r="F35" t="str">
        <f>IF(D35,IF(E35="","Pending SME Input",E35&amp;" (SME Override)"),IF(C35,"Fail","Pass"))</f>
        <v>Pass</v>
      </c>
      <c r="G35">
        <v>24.963859726799299</v>
      </c>
    </row>
    <row r="36" spans="1:7" x14ac:dyDescent="0.25">
      <c r="A36" t="s">
        <v>36</v>
      </c>
      <c r="C36" s="2" t="b">
        <v>0</v>
      </c>
      <c r="D36" s="2" t="b">
        <v>0</v>
      </c>
      <c r="F36" t="str">
        <f>IF(D36,IF(E36="","Pending SME Input",E36&amp;" (SME Override)"),IF(C36,"Fail","Pass"))</f>
        <v>Pass</v>
      </c>
      <c r="G36">
        <v>24.2130207381433</v>
      </c>
    </row>
    <row r="37" spans="1:7" x14ac:dyDescent="0.25">
      <c r="A37" t="s">
        <v>38</v>
      </c>
      <c r="C37" s="2" t="b">
        <v>0</v>
      </c>
      <c r="D37" s="2" t="b">
        <v>0</v>
      </c>
      <c r="F37" t="str">
        <f>IF(D37,IF(E37="","Pending SME Input",E37&amp;" (SME Override)"),IF(C37,"Fail","Pass"))</f>
        <v>Pass</v>
      </c>
      <c r="G37">
        <v>24.795082888242298</v>
      </c>
    </row>
    <row r="38" spans="1:7" x14ac:dyDescent="0.25">
      <c r="A38" t="s">
        <v>40</v>
      </c>
      <c r="C38" s="2" t="b">
        <v>0</v>
      </c>
      <c r="D38" s="2" t="b">
        <v>0</v>
      </c>
      <c r="F38" t="str">
        <f>IF(D38,IF(E38="","Pending SME Input",E38&amp;" (SME Override)"),IF(C38,"Fail","Pass"))</f>
        <v>Pass</v>
      </c>
      <c r="G38">
        <v>29.193575142188799</v>
      </c>
    </row>
    <row r="39" spans="1:7" x14ac:dyDescent="0.25">
      <c r="A39" t="s">
        <v>42</v>
      </c>
      <c r="C39" s="2" t="b">
        <v>0</v>
      </c>
      <c r="D39" s="2" t="b">
        <v>0</v>
      </c>
      <c r="F39" t="str">
        <f>IF(D39,IF(E39="","Pending SME Input",E39&amp;" (SME Override)"),IF(C39,"Fail","Pass"))</f>
        <v>Pass</v>
      </c>
      <c r="G39">
        <v>28.576732141566598</v>
      </c>
    </row>
    <row r="40" spans="1:7" hidden="1" x14ac:dyDescent="0.25">
      <c r="A40" t="s">
        <v>44</v>
      </c>
      <c r="B40" t="s">
        <v>21</v>
      </c>
      <c r="C40" s="2" t="b">
        <v>1</v>
      </c>
      <c r="D40" s="2" t="b">
        <v>0</v>
      </c>
      <c r="F40" t="str">
        <f>IF(D40,IF(E40="","Pending SME Input",E40&amp;" (SME Override)"),IF(C40,"Fail","Pass"))</f>
        <v>Fail</v>
      </c>
      <c r="G40">
        <v>27.011025781183701</v>
      </c>
    </row>
    <row r="41" spans="1:7" hidden="1" x14ac:dyDescent="0.25">
      <c r="A41" t="s">
        <v>46</v>
      </c>
      <c r="B41" t="s">
        <v>21</v>
      </c>
      <c r="C41" s="2" t="b">
        <v>1</v>
      </c>
      <c r="D41" s="2" t="b">
        <v>0</v>
      </c>
      <c r="F41" t="str">
        <f>IF(D41,IF(E41="","Pending SME Input",E41&amp;" (SME Override)"),IF(C41,"Fail","Pass"))</f>
        <v>Fail</v>
      </c>
      <c r="G41">
        <v>11.9171053781476</v>
      </c>
    </row>
    <row r="42" spans="1:7" x14ac:dyDescent="0.25">
      <c r="A42" t="s">
        <v>48</v>
      </c>
      <c r="C42" s="2" t="b">
        <v>0</v>
      </c>
      <c r="D42" s="2" t="b">
        <v>0</v>
      </c>
      <c r="F42" t="str">
        <f>IF(D42,IF(E42="","Pending SME Input",E42&amp;" (SME Override)"),IF(C42,"Fail","Pass"))</f>
        <v>Pass</v>
      </c>
      <c r="G42">
        <v>24.165017195835802</v>
      </c>
    </row>
    <row r="43" spans="1:7" x14ac:dyDescent="0.25">
      <c r="A43" t="s">
        <v>50</v>
      </c>
      <c r="C43" s="2" t="b">
        <v>0</v>
      </c>
      <c r="D43" s="2" t="b">
        <v>0</v>
      </c>
      <c r="F43" t="str">
        <f>IF(D43,IF(E43="","Pending SME Input",E43&amp;" (SME Override)"),IF(C43,"Fail","Pass"))</f>
        <v>Pass</v>
      </c>
      <c r="G43">
        <v>30.356609716288901</v>
      </c>
    </row>
    <row r="44" spans="1:7" hidden="1" x14ac:dyDescent="0.25">
      <c r="A44" t="s">
        <v>52</v>
      </c>
      <c r="B44" t="s">
        <v>21</v>
      </c>
      <c r="C44" s="2" t="b">
        <v>1</v>
      </c>
      <c r="D44" s="2" t="b">
        <v>0</v>
      </c>
      <c r="F44" t="str">
        <f>IF(D44,IF(E44="","Pending SME Input",E44&amp;" (SME Override)"),IF(C44,"Fail","Pass"))</f>
        <v>Fail</v>
      </c>
      <c r="G44">
        <v>25.8054904061323</v>
      </c>
    </row>
    <row r="45" spans="1:7" x14ac:dyDescent="0.25">
      <c r="A45" t="s">
        <v>54</v>
      </c>
      <c r="C45" s="2" t="b">
        <v>0</v>
      </c>
      <c r="D45" s="2" t="b">
        <v>0</v>
      </c>
      <c r="F45" t="str">
        <f>IF(D45,IF(E45="","Pending SME Input",E45&amp;" (SME Override)"),IF(C45,"Fail","Pass"))</f>
        <v>Pass</v>
      </c>
      <c r="G45">
        <v>28.008281998598601</v>
      </c>
    </row>
    <row r="46" spans="1:7" x14ac:dyDescent="0.25">
      <c r="A46" t="s">
        <v>56</v>
      </c>
      <c r="C46" s="2" t="b">
        <v>0</v>
      </c>
      <c r="D46" s="2" t="b">
        <v>0</v>
      </c>
      <c r="F46" t="str">
        <f>IF(D46,IF(E46="","Pending SME Input",E46&amp;" (SME Override)"),IF(C46,"Fail","Pass"))</f>
        <v>Pass</v>
      </c>
      <c r="G46">
        <v>30.077887895015799</v>
      </c>
    </row>
    <row r="47" spans="1:7" x14ac:dyDescent="0.25">
      <c r="A47" t="s">
        <v>58</v>
      </c>
      <c r="C47" s="2" t="b">
        <v>0</v>
      </c>
      <c r="D47" s="2" t="b">
        <v>0</v>
      </c>
      <c r="F47" t="str">
        <f>IF(D47,IF(E47="","Pending SME Input",E47&amp;" (SME Override)"),IF(C47,"Fail","Pass"))</f>
        <v>Pass</v>
      </c>
      <c r="G47">
        <v>30.334898572907399</v>
      </c>
    </row>
    <row r="48" spans="1:7" x14ac:dyDescent="0.25">
      <c r="A48" t="s">
        <v>60</v>
      </c>
      <c r="C48" s="2" t="b">
        <v>0</v>
      </c>
      <c r="D48" s="2" t="b">
        <v>0</v>
      </c>
      <c r="F48" t="str">
        <f>IF(D48,IF(E48="","Pending SME Input",E48&amp;" (SME Override)"),IF(C48,"Fail","Pass"))</f>
        <v>Pass</v>
      </c>
      <c r="G48">
        <v>30.002637482437301</v>
      </c>
    </row>
    <row r="49" spans="1:7" hidden="1" x14ac:dyDescent="0.25">
      <c r="A49" t="s">
        <v>62</v>
      </c>
      <c r="B49" t="s">
        <v>3</v>
      </c>
      <c r="C49" s="2" t="b">
        <v>1</v>
      </c>
      <c r="D49" s="2" t="b">
        <v>0</v>
      </c>
      <c r="F49" t="str">
        <f>IF(D49,IF(E49="","Pending SME Input",E49&amp;" (SME Override)"),IF(C49,"Fail","Pass"))</f>
        <v>Fail</v>
      </c>
      <c r="G49">
        <v>33.455671597020697</v>
      </c>
    </row>
    <row r="50" spans="1:7" x14ac:dyDescent="0.25">
      <c r="A50" t="s">
        <v>64</v>
      </c>
      <c r="C50" s="2" t="b">
        <v>0</v>
      </c>
      <c r="D50" s="2" t="b">
        <v>0</v>
      </c>
      <c r="F50" t="str">
        <f>IF(D50,IF(E50="","Pending SME Input",E50&amp;" (SME Override)"),IF(C50,"Fail","Pass"))</f>
        <v>Pass</v>
      </c>
      <c r="G50">
        <v>36.356848161274002</v>
      </c>
    </row>
    <row r="51" spans="1:7" x14ac:dyDescent="0.25">
      <c r="A51" t="s">
        <v>66</v>
      </c>
      <c r="C51" s="2" t="b">
        <v>0</v>
      </c>
      <c r="D51" s="2" t="b">
        <v>0</v>
      </c>
      <c r="F51" t="str">
        <f>IF(D51,IF(E51="","Pending SME Input",E51&amp;" (SME Override)"),IF(C51,"Fail","Pass"))</f>
        <v>Pass</v>
      </c>
      <c r="G51">
        <v>30.9555751822577</v>
      </c>
    </row>
    <row r="52" spans="1:7" hidden="1" x14ac:dyDescent="0.25">
      <c r="A52" t="s">
        <v>68</v>
      </c>
      <c r="B52" t="s">
        <v>23</v>
      </c>
      <c r="C52" s="2" t="b">
        <v>1</v>
      </c>
      <c r="D52" s="2" t="b">
        <v>0</v>
      </c>
      <c r="F52" t="str">
        <f>IF(D52,IF(E52="","Pending SME Input",E52&amp;" (SME Override)"),IF(C52,"Fail","Pass"))</f>
        <v>Fail</v>
      </c>
      <c r="G52">
        <v>40.784339589151102</v>
      </c>
    </row>
    <row r="53" spans="1:7" hidden="1" x14ac:dyDescent="0.25">
      <c r="A53" t="s">
        <v>70</v>
      </c>
      <c r="B53" t="s">
        <v>21</v>
      </c>
      <c r="C53" s="2" t="b">
        <v>1</v>
      </c>
      <c r="D53" s="2" t="b">
        <v>0</v>
      </c>
      <c r="F53" t="str">
        <f>IF(D53,IF(E53="","Pending SME Input",E53&amp;" (SME Override)"),IF(C53,"Fail","Pass"))</f>
        <v>Fail</v>
      </c>
      <c r="G53">
        <v>42.924153582684198</v>
      </c>
    </row>
    <row r="54" spans="1:7" x14ac:dyDescent="0.25">
      <c r="A54" t="s">
        <v>72</v>
      </c>
      <c r="C54" s="2" t="b">
        <v>0</v>
      </c>
      <c r="D54" s="2" t="b">
        <v>0</v>
      </c>
      <c r="F54" t="str">
        <f>IF(D54,IF(E54="","Pending SME Input",E54&amp;" (SME Override)"),IF(C54,"Fail","Pass"))</f>
        <v>Pass</v>
      </c>
      <c r="G54">
        <v>33.136307141795399</v>
      </c>
    </row>
    <row r="55" spans="1:7" x14ac:dyDescent="0.25">
      <c r="A55" t="s">
        <v>74</v>
      </c>
      <c r="C55" s="2" t="b">
        <v>0</v>
      </c>
      <c r="D55" s="2" t="b">
        <v>0</v>
      </c>
      <c r="F55" t="str">
        <f>IF(D55,IF(E55="","Pending SME Input",E55&amp;" (SME Override)"),IF(C55,"Fail","Pass"))</f>
        <v>Pass</v>
      </c>
      <c r="G55">
        <v>30.517560564885802</v>
      </c>
    </row>
    <row r="56" spans="1:7" x14ac:dyDescent="0.25">
      <c r="A56" t="s">
        <v>76</v>
      </c>
      <c r="C56" s="2" t="b">
        <v>0</v>
      </c>
      <c r="D56" s="2" t="b">
        <v>0</v>
      </c>
      <c r="F56" t="str">
        <f>IF(D56,IF(E56="","Pending SME Input",E56&amp;" (SME Override)"),IF(C56,"Fail","Pass"))</f>
        <v>Pass</v>
      </c>
      <c r="G56">
        <v>31.816381633893599</v>
      </c>
    </row>
    <row r="57" spans="1:7" x14ac:dyDescent="0.25">
      <c r="A57" t="s">
        <v>78</v>
      </c>
      <c r="C57" s="2" t="b">
        <v>0</v>
      </c>
      <c r="D57" s="2" t="b">
        <v>0</v>
      </c>
      <c r="F57" t="str">
        <f>IF(D57,IF(E57="","Pending SME Input",E57&amp;" (SME Override)"),IF(C57,"Fail","Pass"))</f>
        <v>Pass</v>
      </c>
      <c r="G57">
        <v>18.658123222234099</v>
      </c>
    </row>
    <row r="58" spans="1:7" hidden="1" x14ac:dyDescent="0.25">
      <c r="A58" t="s">
        <v>80</v>
      </c>
      <c r="B58" t="s">
        <v>3</v>
      </c>
      <c r="C58" s="2" t="b">
        <v>1</v>
      </c>
      <c r="D58" s="2" t="b">
        <v>0</v>
      </c>
      <c r="F58" t="str">
        <f>IF(D58,IF(E58="","Pending SME Input",E58&amp;" (SME Override)"),IF(C58,"Fail","Pass"))</f>
        <v>Fail</v>
      </c>
      <c r="G58">
        <v>26.041793691045601</v>
      </c>
    </row>
    <row r="59" spans="1:7" x14ac:dyDescent="0.25">
      <c r="A59" t="s">
        <v>82</v>
      </c>
      <c r="C59" s="2" t="b">
        <v>0</v>
      </c>
      <c r="D59" s="2" t="b">
        <v>0</v>
      </c>
      <c r="F59" t="str">
        <f>IF(D59,IF(E59="","Pending SME Input",E59&amp;" (SME Override)"),IF(C59,"Fail","Pass"))</f>
        <v>Pass</v>
      </c>
      <c r="G59">
        <v>33.9762484519106</v>
      </c>
    </row>
    <row r="60" spans="1:7" x14ac:dyDescent="0.25">
      <c r="A60" t="s">
        <v>84</v>
      </c>
      <c r="C60" s="2" t="b">
        <v>0</v>
      </c>
      <c r="D60" s="2" t="b">
        <v>0</v>
      </c>
      <c r="F60" t="str">
        <f>IF(D60,IF(E60="","Pending SME Input",E60&amp;" (SME Override)"),IF(C60,"Fail","Pass"))</f>
        <v>Pass</v>
      </c>
      <c r="G60">
        <v>30.136541412492299</v>
      </c>
    </row>
    <row r="61" spans="1:7" x14ac:dyDescent="0.25">
      <c r="A61" t="s">
        <v>85</v>
      </c>
      <c r="C61" s="2" t="b">
        <v>0</v>
      </c>
      <c r="D61" s="2" t="b">
        <v>0</v>
      </c>
      <c r="F61" t="str">
        <f>IF(D61,IF(E61="","Pending SME Input",E61&amp;" (SME Override)"),IF(C61,"Fail","Pass"))</f>
        <v>Pass</v>
      </c>
      <c r="G61">
        <v>32.369099363208797</v>
      </c>
    </row>
    <row r="62" spans="1:7" x14ac:dyDescent="0.25">
      <c r="A62" t="s">
        <v>86</v>
      </c>
      <c r="C62" s="2" t="b">
        <v>0</v>
      </c>
      <c r="D62" s="2" t="b">
        <v>0</v>
      </c>
      <c r="F62" t="str">
        <f>IF(D62,IF(E62="","Pending SME Input",E62&amp;" (SME Override)"),IF(C62,"Fail","Pass"))</f>
        <v>Pass</v>
      </c>
      <c r="G62">
        <v>27.061378147627298</v>
      </c>
    </row>
    <row r="63" spans="1:7" hidden="1" x14ac:dyDescent="0.25">
      <c r="A63" t="s">
        <v>87</v>
      </c>
      <c r="B63" t="s">
        <v>21</v>
      </c>
      <c r="C63" s="2" t="b">
        <v>1</v>
      </c>
      <c r="D63" s="2" t="b">
        <v>0</v>
      </c>
      <c r="F63" t="str">
        <f>IF(D63,IF(E63="","Pending SME Input",E63&amp;" (SME Override)"),IF(C63,"Fail","Pass"))</f>
        <v>Fail</v>
      </c>
      <c r="G63">
        <v>28.265411247260101</v>
      </c>
    </row>
    <row r="64" spans="1:7" x14ac:dyDescent="0.25">
      <c r="A64" t="s">
        <v>81</v>
      </c>
      <c r="C64" s="2" t="b">
        <v>0</v>
      </c>
      <c r="D64" s="2" t="b">
        <v>0</v>
      </c>
      <c r="F64" t="str">
        <f>IF(D64,IF(E64="","Pending SME Input",E64&amp;" (SME Override)"),IF(C64,"Fail","Pass"))</f>
        <v>Pass</v>
      </c>
      <c r="G64">
        <v>26.989951065136498</v>
      </c>
    </row>
    <row r="65" spans="1:7" x14ac:dyDescent="0.25">
      <c r="A65" t="s">
        <v>83</v>
      </c>
      <c r="C65" s="2" t="b">
        <v>0</v>
      </c>
      <c r="D65" s="2" t="b">
        <v>0</v>
      </c>
      <c r="F65" t="str">
        <f>IF(D65,IF(E65="","Pending SME Input",E65&amp;" (SME Override)"),IF(C65,"Fail","Pass"))</f>
        <v>Pass</v>
      </c>
      <c r="G65">
        <v>27.722685266609101</v>
      </c>
    </row>
    <row r="66" spans="1:7" hidden="1" x14ac:dyDescent="0.25">
      <c r="C66" s="2" t="b">
        <v>0</v>
      </c>
      <c r="D66" s="2" t="b">
        <v>0</v>
      </c>
    </row>
    <row r="67" spans="1:7" hidden="1" x14ac:dyDescent="0.25">
      <c r="C67" s="2" t="b">
        <v>0</v>
      </c>
      <c r="D67" s="2" t="b">
        <v>0</v>
      </c>
    </row>
    <row r="68" spans="1:7" hidden="1" x14ac:dyDescent="0.25">
      <c r="C68" s="2" t="b">
        <v>0</v>
      </c>
      <c r="D68" s="2" t="b">
        <v>0</v>
      </c>
    </row>
    <row r="69" spans="1:7" hidden="1" x14ac:dyDescent="0.25">
      <c r="C69" s="2" t="b">
        <v>0</v>
      </c>
      <c r="D69" s="2" t="b">
        <v>0</v>
      </c>
    </row>
  </sheetData>
  <autoFilter ref="A1:F69" xr:uid="{38FA75DD-C643-4364-845A-99F213533AF3}">
    <filterColumn colId="5">
      <filters>
        <filter val="Pass"/>
      </filters>
    </filterColumn>
    <sortState xmlns:xlrd2="http://schemas.microsoft.com/office/spreadsheetml/2017/richdata2" ref="A2:F69">
      <sortCondition ref="A1:A69"/>
    </sortState>
  </autoFilter>
  <conditionalFormatting sqref="F1:F1048576 G1">
    <cfRule type="cellIs" dxfId="6" priority="1" operator="equal">
      <formula>"Fail (SME Override)"</formula>
    </cfRule>
    <cfRule type="cellIs" dxfId="5" priority="2" operator="equal">
      <formula>"Pass (SME Override)"</formula>
    </cfRule>
    <cfRule type="cellIs" dxfId="4" priority="3" operator="equal">
      <formula>"Pending SME Input"</formula>
    </cfRule>
    <cfRule type="cellIs" dxfId="3" priority="8" operator="equal">
      <formula>"Pending SME Input"</formula>
    </cfRule>
    <cfRule type="cellIs" dxfId="2" priority="9" operator="equal">
      <formula>"Fail"</formula>
    </cfRule>
    <cfRule type="cellIs" dxfId="1" priority="10" operator="equal">
      <formula>"Pass"</formula>
    </cfRule>
  </conditionalFormatting>
  <conditionalFormatting sqref="F2:F69">
    <cfRule type="cellIs" dxfId="0" priority="7" operator="equal">
      <formula>"Fail (SME Override)"</formula>
    </cfRule>
  </conditionalFormatting>
  <dataValidations count="2">
    <dataValidation type="list" allowBlank="1" showInputMessage="1" showErrorMessage="1" sqref="B1:B1048576" xr:uid="{A141D47B-CEE0-47CD-88FE-2B3926379606}">
      <formula1>$L$3:$L$11</formula1>
    </dataValidation>
    <dataValidation type="list" allowBlank="1" showInputMessage="1" showErrorMessage="1" sqref="E1:E1048576" xr:uid="{840D80A0-29AE-4F3C-891D-E88C6B44D082}">
      <formula1>$N$2:$N$3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8691-132F-4264-9FC8-FF16DB9BD3D0}">
  <dimension ref="C2:D10"/>
  <sheetViews>
    <sheetView topLeftCell="B1" zoomScale="96" workbookViewId="0">
      <selection activeCell="D26" sqref="D26"/>
    </sheetView>
  </sheetViews>
  <sheetFormatPr defaultRowHeight="15" x14ac:dyDescent="0.25"/>
  <cols>
    <col min="3" max="3" width="30.5703125" customWidth="1"/>
    <col min="4" max="4" width="22.28515625" customWidth="1"/>
  </cols>
  <sheetData>
    <row r="2" spans="3:4" ht="18.75" x14ac:dyDescent="0.3">
      <c r="C2" s="9" t="s">
        <v>14</v>
      </c>
    </row>
    <row r="4" spans="3:4" x14ac:dyDescent="0.25">
      <c r="C4" s="6" t="s">
        <v>10</v>
      </c>
      <c r="D4" s="6" t="s">
        <v>11</v>
      </c>
    </row>
    <row r="5" spans="3:4" x14ac:dyDescent="0.25">
      <c r="C5" s="7" t="s">
        <v>19</v>
      </c>
      <c r="D5" s="7" cm="1">
        <f t="array" ref="D5">SUM(COUNTIF('QA Gate '!B:B, {"Mean WE Thickness","Max Thickness"}))</f>
        <v>1</v>
      </c>
    </row>
    <row r="6" spans="3:4" x14ac:dyDescent="0.25">
      <c r="C6" s="7" t="s">
        <v>12</v>
      </c>
      <c r="D6" s="7" cm="1">
        <f t="array" ref="D6">SUM(COUNTIF('QA Gate '!B:B, {"Fibre","Fibres","Lumps","Bent Needle"}))</f>
        <v>4</v>
      </c>
    </row>
    <row r="7" spans="3:4" x14ac:dyDescent="0.25">
      <c r="C7" s="7" t="s">
        <v>13</v>
      </c>
      <c r="D7" s="7" cm="1">
        <f t="array" ref="D7">SUM(COUNTIF('QA Gate '!B:B, {"Measurement Error","Two Needles Shown on Image","Missing Image"}))</f>
        <v>1</v>
      </c>
    </row>
    <row r="8" spans="3:4" x14ac:dyDescent="0.25">
      <c r="C8" s="7" t="s">
        <v>22</v>
      </c>
      <c r="D8" s="7" cm="1">
        <f t="array" ref="D8">SUM(COUNTIF('QA Gate '!B:B, {"Sensor Removed","Missing Image"}))</f>
        <v>8</v>
      </c>
    </row>
    <row r="10" spans="3:4" x14ac:dyDescent="0.25">
      <c r="C10" t="s">
        <v>89</v>
      </c>
      <c r="D10">
        <f>SUM(D5:D8)</f>
        <v>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E63AD5A533143870D7C738E648C4D" ma:contentTypeVersion="21" ma:contentTypeDescription="Create a new document." ma:contentTypeScope="" ma:versionID="dfdac8d47bd41fd4a6c8d72169fae136">
  <xsd:schema xmlns:xsd="http://www.w3.org/2001/XMLSchema" xmlns:xs="http://www.w3.org/2001/XMLSchema" xmlns:p="http://schemas.microsoft.com/office/2006/metadata/properties" xmlns:ns2="31dcf42c-cd52-4e05-91cc-57de501220c2" xmlns:ns3="1613a55e-cedb-4975-97df-8f93596039ec" targetNamespace="http://schemas.microsoft.com/office/2006/metadata/properties" ma:root="true" ma:fieldsID="169189252d40b27e10661dd389349a63" ns2:_="" ns3:_="">
    <xsd:import namespace="31dcf42c-cd52-4e05-91cc-57de501220c2"/>
    <xsd:import namespace="1613a55e-cedb-4975-97df-8f9359603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c7d14190aa9494aa10b539d07346ac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cf42c-cd52-4e05-91cc-57de50122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b7bac50-0e9c-4835-9fca-e7d673377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c7d14190aa9494aa10b539d07346ac2" ma:index="27" nillable="true" ma:taxonomy="true" ma:internalName="pc7d14190aa9494aa10b539d07346ac2" ma:taxonomyFieldName="Department" ma:displayName="Department" ma:default="" ma:fieldId="{9c7d1419-0aa9-494a-a10b-539d07346ac2}" ma:sspId="9b7bac50-0e9c-4835-9fca-e7d673377e49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3a55e-cedb-4975-97df-8f9359603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e1ca613-0703-4795-99ee-1a183922076b}" ma:internalName="TaxCatchAll" ma:showField="CatchAllData" ma:web="1613a55e-cedb-4975-97df-8f9359603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13a55e-cedb-4975-97df-8f93596039ec" xsi:nil="true"/>
    <pc7d14190aa9494aa10b539d07346ac2 xmlns="31dcf42c-cd52-4e05-91cc-57de501220c2">
      <Terms xmlns="http://schemas.microsoft.com/office/infopath/2007/PartnerControls"/>
    </pc7d14190aa9494aa10b539d07346ac2>
    <lcf76f155ced4ddcb4097134ff3c332f xmlns="31dcf42c-cd52-4e05-91cc-57de501220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A7175-F3F2-453C-B30B-E79489CE4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cf42c-cd52-4e05-91cc-57de501220c2"/>
    <ds:schemaRef ds:uri="1613a55e-cedb-4975-97df-8f9359603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1771D0-B54A-44FA-9C21-AAED61C9F217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1613a55e-cedb-4975-97df-8f93596039ec"/>
    <ds:schemaRef ds:uri="31dcf42c-cd52-4e05-91cc-57de501220c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626A50-3B25-46E0-A32D-78598A2928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Gate </vt:lpstr>
      <vt:lpstr>Failure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Chappell Facuse</dc:creator>
  <cp:lastModifiedBy>Grace Chappell Facuse</cp:lastModifiedBy>
  <dcterms:created xsi:type="dcterms:W3CDTF">2025-11-25T11:59:15Z</dcterms:created>
  <dcterms:modified xsi:type="dcterms:W3CDTF">2026-01-13T10:31:35Z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0x0101003EAE63AD5A533143870D7C738E648C4D</vt:lpwstr>
  </property>
</Properties>
</file>
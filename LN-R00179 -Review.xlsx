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onehealthltd.sharepoint.com/sites/WholeTeam/Main Shared Library/Technical Departments/Manufacturing/Quality/QA Gate - Excel Files/Outer Layer/"/>
    </mc:Choice>
  </mc:AlternateContent>
  <xr:revisionPtr revIDLastSave="0" documentId="13_ncr:1_{70AE637A-92F0-4D27-B215-0CC7B532EE07}" xr6:coauthVersionLast="47" xr6:coauthVersionMax="47" xr10:uidLastSave="{00000000-0000-0000-0000-000000000000}"/>
  <bookViews>
    <workbookView xWindow="-80" yWindow="-80" windowWidth="19360" windowHeight="11440" activeTab="1" xr2:uid="{3450984D-0516-491B-815D-95A521D8712C}"/>
  </bookViews>
  <sheets>
    <sheet name="QA Gate " sheetId="1" r:id="rId1"/>
    <sheet name="Failure Analysis" sheetId="2" r:id="rId2"/>
  </sheets>
  <definedNames>
    <definedName name="_xlnm._FilterDatabase" localSheetId="0" hidden="1">'QA Gate '!$A$1:$G$153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6" i="1" l="1"/>
  <c r="F137" i="1"/>
  <c r="F141" i="1"/>
  <c r="F138" i="1"/>
  <c r="F142" i="1"/>
  <c r="F77" i="1"/>
  <c r="F71" i="1"/>
  <c r="F26" i="1"/>
  <c r="F51" i="1"/>
  <c r="F37" i="1"/>
  <c r="F143" i="1"/>
  <c r="F55" i="1"/>
  <c r="F15" i="1"/>
  <c r="F18" i="1"/>
  <c r="F89" i="1"/>
  <c r="F104" i="1"/>
  <c r="F90" i="1"/>
  <c r="F105" i="1"/>
  <c r="F122" i="1"/>
  <c r="F106" i="1"/>
  <c r="F146" i="1"/>
  <c r="F107" i="1"/>
  <c r="F91" i="1"/>
  <c r="F102" i="1"/>
  <c r="F41" i="1"/>
  <c r="F108" i="1"/>
  <c r="F82" i="1"/>
  <c r="F135" i="1"/>
  <c r="F92" i="1"/>
  <c r="F109" i="1"/>
  <c r="F93" i="1"/>
  <c r="F111" i="1"/>
  <c r="F11" i="1"/>
  <c r="F113" i="1"/>
  <c r="F54" i="1"/>
  <c r="F114" i="1"/>
  <c r="F60" i="1"/>
  <c r="F152" i="1"/>
  <c r="F30" i="1"/>
  <c r="F153" i="1"/>
  <c r="F2" i="1"/>
  <c r="F148" i="1"/>
  <c r="F81" i="1"/>
  <c r="F96" i="1"/>
  <c r="F75" i="1"/>
  <c r="F97" i="1"/>
  <c r="F84" i="1"/>
  <c r="F25" i="1"/>
  <c r="F85" i="1"/>
  <c r="F98" i="1"/>
  <c r="F78" i="1"/>
  <c r="F99" i="1"/>
  <c r="F87" i="1"/>
  <c r="F42" i="1"/>
  <c r="F110" i="1"/>
  <c r="F101" i="1"/>
  <c r="F31" i="1"/>
  <c r="F76" i="1"/>
  <c r="F28" i="1"/>
  <c r="F103" i="1"/>
  <c r="F49" i="1"/>
  <c r="F44" i="1"/>
  <c r="F33" i="1"/>
  <c r="F149" i="1"/>
  <c r="F88" i="1"/>
  <c r="F68" i="1"/>
  <c r="F74" i="1"/>
  <c r="F150" i="1"/>
  <c r="F17" i="1"/>
  <c r="F23" i="1"/>
  <c r="F29" i="1"/>
  <c r="F151" i="1"/>
  <c r="F147" i="1"/>
  <c r="F94" i="1"/>
  <c r="F95" i="1"/>
  <c r="F139" i="1"/>
  <c r="F72" i="1"/>
  <c r="F100" i="1"/>
  <c r="F38" i="1"/>
  <c r="F36" i="1"/>
  <c r="F62" i="1"/>
  <c r="F8" i="1"/>
  <c r="F9" i="1"/>
  <c r="F3" i="1"/>
  <c r="D8" i="2" a="1"/>
  <c r="D8" i="2" s="1"/>
  <c r="D6" i="2" a="1"/>
  <c r="D6" i="2" s="1"/>
  <c r="D7" i="2" a="1"/>
  <c r="D7" i="2" s="1"/>
  <c r="D5" i="2" l="1" a="1"/>
  <c r="D5" i="2" s="1"/>
  <c r="D10" i="2" s="1"/>
  <c r="F129" i="1"/>
  <c r="F79" i="1"/>
  <c r="F45" i="1"/>
  <c r="F126" i="1"/>
  <c r="F56" i="1"/>
  <c r="F57" i="1"/>
  <c r="F53" i="1"/>
  <c r="F34" i="1"/>
  <c r="F59" i="1"/>
  <c r="F115" i="1"/>
  <c r="F48" i="1"/>
  <c r="F116" i="1"/>
  <c r="F19" i="1"/>
  <c r="F128" i="1"/>
  <c r="F43" i="1"/>
  <c r="F20" i="1"/>
  <c r="F73" i="1"/>
  <c r="F35" i="1"/>
  <c r="F64" i="1"/>
  <c r="F21" i="1"/>
  <c r="F63" i="1"/>
  <c r="F14" i="1"/>
  <c r="F5" i="1"/>
  <c r="F32" i="1"/>
  <c r="F117" i="1"/>
  <c r="F39" i="1"/>
  <c r="F118" i="1"/>
  <c r="F40" i="1"/>
  <c r="F80" i="1"/>
  <c r="F130" i="1"/>
  <c r="F119" i="1"/>
  <c r="F131" i="1"/>
  <c r="F120" i="1"/>
  <c r="F50" i="1"/>
  <c r="F112" i="1"/>
  <c r="F132" i="1"/>
  <c r="F121" i="1"/>
  <c r="F86" i="1"/>
  <c r="F123" i="1"/>
  <c r="F133" i="1"/>
  <c r="F124" i="1"/>
  <c r="F140" i="1"/>
  <c r="F125" i="1"/>
  <c r="F13" i="1"/>
  <c r="F46" i="1"/>
  <c r="F58" i="1"/>
  <c r="F70" i="1"/>
  <c r="F134" i="1"/>
  <c r="F127" i="1"/>
  <c r="F69" i="1"/>
  <c r="F52" i="1"/>
  <c r="F66" i="1"/>
  <c r="F16" i="1"/>
  <c r="F67" i="1"/>
  <c r="F61" i="1"/>
  <c r="F12" i="1"/>
  <c r="F83" i="1"/>
  <c r="F10" i="1"/>
  <c r="F47" i="1"/>
  <c r="F6" i="1"/>
  <c r="F27" i="1"/>
  <c r="F144" i="1"/>
  <c r="F145" i="1"/>
  <c r="F24" i="1"/>
  <c r="F22" i="1"/>
  <c r="F65" i="1"/>
  <c r="F7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<sst xmlns="http://schemas.openxmlformats.org/spreadsheetml/2006/main" count="212" uniqueCount="179">
  <si>
    <t>Sensor ID</t>
  </si>
  <si>
    <t>QE Failure Mode</t>
  </si>
  <si>
    <t>Final Result</t>
  </si>
  <si>
    <t>Fibre</t>
  </si>
  <si>
    <t>Lumps</t>
  </si>
  <si>
    <t>QE Decision</t>
  </si>
  <si>
    <t>SME Override</t>
  </si>
  <si>
    <t>SME New Decision</t>
  </si>
  <si>
    <t>Pass</t>
  </si>
  <si>
    <t>Fail</t>
  </si>
  <si>
    <t>Category</t>
  </si>
  <si>
    <t>Count</t>
  </si>
  <si>
    <t>Visual Contamination Failures</t>
  </si>
  <si>
    <t>Imaging System Failures</t>
  </si>
  <si>
    <t>Failure Mode Analysis</t>
  </si>
  <si>
    <t>Mean WE Thickness</t>
  </si>
  <si>
    <t>Max Thickness</t>
  </si>
  <si>
    <t>Two Needles Shown on Image</t>
  </si>
  <si>
    <t>Bent Needle</t>
  </si>
  <si>
    <t>Outer Layer Failures - Process Specific</t>
  </si>
  <si>
    <t>Missing Image</t>
  </si>
  <si>
    <t>Sensor Removed</t>
  </si>
  <si>
    <t>Other Failures (Pre OL, Sensor Removed)</t>
  </si>
  <si>
    <t>Measurement Error</t>
  </si>
  <si>
    <t>Outer Layer Failure Modes</t>
  </si>
  <si>
    <t>Z32D-595-B7</t>
  </si>
  <si>
    <t>Z32D-582-F8</t>
  </si>
  <si>
    <t>Z32D-595-B8</t>
  </si>
  <si>
    <t>Z32D-582-F5</t>
  </si>
  <si>
    <t>Z32D-595-C2</t>
  </si>
  <si>
    <t>Z32D-582-F6</t>
  </si>
  <si>
    <t>Z32D-595-C3</t>
  </si>
  <si>
    <t>Z32D-582-F7</t>
  </si>
  <si>
    <t>Z32D-595-C4</t>
  </si>
  <si>
    <t>Z32D-582-A3</t>
  </si>
  <si>
    <t>Z32D-595-C5</t>
  </si>
  <si>
    <t>Z32D-582-A5</t>
  </si>
  <si>
    <t>Z32D-595-C6</t>
  </si>
  <si>
    <t>Z32D-582-A6</t>
  </si>
  <si>
    <t>Z32D-595-C7</t>
  </si>
  <si>
    <t>Z32D-582-A7</t>
  </si>
  <si>
    <t>Z32D-595-C8</t>
  </si>
  <si>
    <t>Z32D-582-B2</t>
  </si>
  <si>
    <t>Z32D-595-D1</t>
  </si>
  <si>
    <t>Z32D-582-B4</t>
  </si>
  <si>
    <t>Z32D-595-D3</t>
  </si>
  <si>
    <t>Z32D-582-B6</t>
  </si>
  <si>
    <t>Z32D-595-D4</t>
  </si>
  <si>
    <t>Z32D-582-B8</t>
  </si>
  <si>
    <t>Z32D-595-D5</t>
  </si>
  <si>
    <t>Z32D-582-C2</t>
  </si>
  <si>
    <t>Z32D-595-D6</t>
  </si>
  <si>
    <t>Z32D-582-C6</t>
  </si>
  <si>
    <t>Z32D-595-D7</t>
  </si>
  <si>
    <t>Z32D-582-C8</t>
  </si>
  <si>
    <t>Z32D-595-E1</t>
  </si>
  <si>
    <t>Z32D-582-D1</t>
  </si>
  <si>
    <t>Z32D-595-E2</t>
  </si>
  <si>
    <t>Z32D-582-D2</t>
  </si>
  <si>
    <t>Z32D-595-E3</t>
  </si>
  <si>
    <t>Z32D-582-D6</t>
  </si>
  <si>
    <t>Z32D-595-E4</t>
  </si>
  <si>
    <t>Z32D-582-D7</t>
  </si>
  <si>
    <t>Z32D-595-E6</t>
  </si>
  <si>
    <t>Z32D-582-E2</t>
  </si>
  <si>
    <t>Z32D-595-E7</t>
  </si>
  <si>
    <t>Z32D-582-E5</t>
  </si>
  <si>
    <t>Z32D-595-E8</t>
  </si>
  <si>
    <t>Z32D-582-E6</t>
  </si>
  <si>
    <t>Z32D-595-F1</t>
  </si>
  <si>
    <t>Z32D-582-E8</t>
  </si>
  <si>
    <t>Z32D-595-F2</t>
  </si>
  <si>
    <t>Z32D-595-B1</t>
  </si>
  <si>
    <t>Z32D-595-F3</t>
  </si>
  <si>
    <t>Z32D-595-B2</t>
  </si>
  <si>
    <t>Z32D-595-F5</t>
  </si>
  <si>
    <t>Z32D-595-B4</t>
  </si>
  <si>
    <t>Z32D-595-F6</t>
  </si>
  <si>
    <t>Z32D-595-B6</t>
  </si>
  <si>
    <t>Z32D-595-F7</t>
  </si>
  <si>
    <t>Z32D-596-F6</t>
  </si>
  <si>
    <t>Z32D-596-F3</t>
  </si>
  <si>
    <t>Z32D-596-F4</t>
  </si>
  <si>
    <t>Z32D-596-E6</t>
  </si>
  <si>
    <t>Z32D-596-E8</t>
  </si>
  <si>
    <t>Z32D-596-F1</t>
  </si>
  <si>
    <t>Z32D-596-F2</t>
  </si>
  <si>
    <t>Z32D-596-D5</t>
  </si>
  <si>
    <t>Z32D-596-D6</t>
  </si>
  <si>
    <t>Z32D-596-E1</t>
  </si>
  <si>
    <t>Z32D-596-E2</t>
  </si>
  <si>
    <t>Z32D-596-E3</t>
  </si>
  <si>
    <t>Z32D-596-E5</t>
  </si>
  <si>
    <t>Z32D-596-A8</t>
  </si>
  <si>
    <t>Z32D-596-B1</t>
  </si>
  <si>
    <t>Z32D-596-B2</t>
  </si>
  <si>
    <t>Z32D-596-B3</t>
  </si>
  <si>
    <t>Z32D-596-B4</t>
  </si>
  <si>
    <t>Z32D-596-B6</t>
  </si>
  <si>
    <t>Z32D-596-B7</t>
  </si>
  <si>
    <t>Z32D-596-C2</t>
  </si>
  <si>
    <t>Z32D-596-C3</t>
  </si>
  <si>
    <t>Z32D-596-C4</t>
  </si>
  <si>
    <t>Z32D-596-C6</t>
  </si>
  <si>
    <t>Z32D-596-D2</t>
  </si>
  <si>
    <t>Z32A-557-F5</t>
  </si>
  <si>
    <t>Z32A-565-A3</t>
  </si>
  <si>
    <t>Z32A-557-F6</t>
  </si>
  <si>
    <t>Z32A-565-A4</t>
  </si>
  <si>
    <t>Z32A-557-F7</t>
  </si>
  <si>
    <t>Z32A-565-A5</t>
  </si>
  <si>
    <t>Z32A-557-F8</t>
  </si>
  <si>
    <t>Z32A-565-A6</t>
  </si>
  <si>
    <t>Z32A-558-A1</t>
  </si>
  <si>
    <t>Z32A-565-A7</t>
  </si>
  <si>
    <t>Z32A-558-A2</t>
  </si>
  <si>
    <t>Z32A-565-B2</t>
  </si>
  <si>
    <t>Z32A-558-A3</t>
  </si>
  <si>
    <t>Z32A-565-B3</t>
  </si>
  <si>
    <t>Z32A-558-A5</t>
  </si>
  <si>
    <t>Z32A-565-B4</t>
  </si>
  <si>
    <t>Z32A-558-B1</t>
  </si>
  <si>
    <t>Z32A-565-C6</t>
  </si>
  <si>
    <t>Z32A-558-B3</t>
  </si>
  <si>
    <t>Z32A-565-C7</t>
  </si>
  <si>
    <t>Z32A-558-B4</t>
  </si>
  <si>
    <t>Z32A-565-C8</t>
  </si>
  <si>
    <t>Z32A-558-B5</t>
  </si>
  <si>
    <t>Z32A-565-D5</t>
  </si>
  <si>
    <t>Z32A-558-B6</t>
  </si>
  <si>
    <t>Z32A-565-D7</t>
  </si>
  <si>
    <t>Z32A-557-A1</t>
  </si>
  <si>
    <t>Z32A-565-F7</t>
  </si>
  <si>
    <t>Z32A-557-A3</t>
  </si>
  <si>
    <t>Z32A-563-A2</t>
  </si>
  <si>
    <t>Z32A-557-A4</t>
  </si>
  <si>
    <t>Z32A-563-A3</t>
  </si>
  <si>
    <t>Z32A-557-A6</t>
  </si>
  <si>
    <t>Z32A-563-A4</t>
  </si>
  <si>
    <t>Z32A-557-B1</t>
  </si>
  <si>
    <t>Z32A-563-A8</t>
  </si>
  <si>
    <t>Z32A-557-B2</t>
  </si>
  <si>
    <t>Z32A-563-B4</t>
  </si>
  <si>
    <t>Z32A-557-B3</t>
  </si>
  <si>
    <t>Z32A-563-B6</t>
  </si>
  <si>
    <t>Z32A-557-B4</t>
  </si>
  <si>
    <t>Z32A-563-B7</t>
  </si>
  <si>
    <t>Z32A-557-B5</t>
  </si>
  <si>
    <t>Z32A-563-C7</t>
  </si>
  <si>
    <t>Z32A-557-B7</t>
  </si>
  <si>
    <t>Z32A-563-C8</t>
  </si>
  <si>
    <t>Z32A-557-C7</t>
  </si>
  <si>
    <t>Z32A-563-D5</t>
  </si>
  <si>
    <t>Z32A-557-D5</t>
  </si>
  <si>
    <t>Z32A-563-D6</t>
  </si>
  <si>
    <t>Z32A-557-D6</t>
  </si>
  <si>
    <t>Z32A-563-D7</t>
  </si>
  <si>
    <t>Z32A-557-E5</t>
  </si>
  <si>
    <t>Z32A-563-D8</t>
  </si>
  <si>
    <t>Z32A-557-E6</t>
  </si>
  <si>
    <t>Z32A-563-E5</t>
  </si>
  <si>
    <t>Z32A-557-E7</t>
  </si>
  <si>
    <t>Z32A-563-F5</t>
  </si>
  <si>
    <t>Z32A-563-F6</t>
  </si>
  <si>
    <t>Z32A-563-F7</t>
  </si>
  <si>
    <t>Z32A-558-F8</t>
  </si>
  <si>
    <t>Z32A-558-F6</t>
  </si>
  <si>
    <t>Z32A-558-F7</t>
  </si>
  <si>
    <t>Z32A-558-F5</t>
  </si>
  <si>
    <t>Z32A-558-C2</t>
  </si>
  <si>
    <t>Z32A-558-C3</t>
  </si>
  <si>
    <t>Z32A-558-C4</t>
  </si>
  <si>
    <t>Z32A-558-C5</t>
  </si>
  <si>
    <t>Z32A-558-C7</t>
  </si>
  <si>
    <t>Z32A-558-D6</t>
  </si>
  <si>
    <t>Z32A-558-D7</t>
  </si>
  <si>
    <t>Z32A-558-E5</t>
  </si>
  <si>
    <t>Total Fails</t>
  </si>
  <si>
    <t>Mean 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</si>
</sst>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0" xfId="0" applyFont="1"/>
    <xf numFmtId="0" fontId="3" fillId="0" borderId="0" xfId="0" applyFont="1"/>
    <xf numFmtId="0" fontId="0" fillId="0" borderId="3" xfId="0" applyBorder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Failure</a:t>
            </a:r>
            <a:r>
              <a:rPr lang="en-GB" baseline="0"/>
              <a:t> Modes</a:t>
            </a:r>
            <a:endParaRPr lang="en-GB"/>
          </a:p>
        </c:rich>
      </c:tx>
      <c:layout>
        <c:manualLayout>
          <c:xMode val="edge"/>
          <c:yMode val="edge"/>
          <c:x val="0.5236101087210826"/>
          <c:y val="2.3367136973741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7-44BD-8B53-1D8FF176D37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0-4E27-B92D-EA007A8FB86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E7-44BD-8B53-1D8FF176D37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E3-4564-BAA4-BAC494781335}"/>
              </c:ext>
            </c:extLst>
          </c:dPt>
          <c:dLbls>
            <c:dLbl>
              <c:idx val="0"/>
              <c:layout>
                <c:manualLayout>
                  <c:x val="9.7652170822927875E-2"/>
                  <c:y val="6.8913271472166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E7-44BD-8B53-1D8FF176D37C}"/>
                </c:ext>
              </c:extLst>
            </c:dLbl>
            <c:dLbl>
              <c:idx val="1"/>
              <c:layout>
                <c:manualLayout>
                  <c:x val="0.11635550211482723"/>
                  <c:y val="9.13260619682848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0-4E27-B92D-EA007A8FB867}"/>
                </c:ext>
              </c:extLst>
            </c:dLbl>
            <c:dLbl>
              <c:idx val="2"/>
              <c:layout>
                <c:manualLayout>
                  <c:x val="3.6949470041107844E-2"/>
                  <c:y val="0.1378265429443330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E7-44BD-8B53-1D8FF176D37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'Failure Analysis'!$C$5:$C$8</c:f>
              <c:strCache>
                <c:ptCount val="4"/>
                <c:pt idx="0">
                  <c:v>Outer Layer Failures - Process Specific</c:v>
                </c:pt>
                <c:pt idx="1">
                  <c:v>Visual Contamination Failures</c:v>
                </c:pt>
                <c:pt idx="2">
                  <c:v>Imaging System Failures</c:v>
                </c:pt>
                <c:pt idx="3">
                  <c:v>Other Failures (Pre OL, Sensor Removed)</c:v>
                </c:pt>
              </c:strCache>
            </c:strRef>
          </c:cat>
          <c:val>
            <c:numRef>
              <c:f>'Failure Analysis'!$D$5:$D$8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0-4E27-B92D-EA007A8F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428427496632463E-2"/>
          <c:y val="0.85787187877426063"/>
          <c:w val="0.91870642734331365"/>
          <c:h val="0.1198336516585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254793</xdr:colOff>
      <xdr:row>1</xdr:row>
      <xdr:rowOff>171978</xdr:rowOff>
    </xdr:from>
    <xdr:to>
      <xdr:col>13</xdr:col>
      <xdr:colOff>224895</xdr:colOff>
      <xdr:row>19</xdr:row>
      <xdr:rowOff>46301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752B3-6F07-BEB2-7CB0-2CCD78E2E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B55475"/>
      </a:accent4>
      <a:accent5>
        <a:srgbClr val="9C85C0"/>
      </a:accent5>
      <a:accent6>
        <a:srgbClr val="58B2EA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75DD-C643-4364-845A-99F213533AF3}">
  <dimension ref="A1:R153"/>
  <sheetViews>
    <sheetView zoomScale="85" workbookViewId="0">
      <selection activeCell="E173" sqref="E173"/>
    </sheetView>
  </sheetViews>
  <sheetFormatPr defaultRowHeight="15" x14ac:dyDescent="0.25"/>
  <cols>
    <col min="1" max="1" width="12" bestFit="1" customWidth="1"/>
    <col min="2" max="2" width="13.85546875" customWidth="1"/>
    <col min="3" max="3" width="12.140625" customWidth="1"/>
    <col min="4" max="4" width="11.5703125" customWidth="1"/>
    <col min="5" max="5" width="16.5703125" customWidth="1"/>
    <col min="6" max="6" width="18.5703125" customWidth="1"/>
    <col min="12" max="12" width="32.5703125" bestFit="1" customWidth="1"/>
    <col min="17" max="17" width="30.42578125" bestFit="1" customWidth="1"/>
  </cols>
  <sheetData>
    <row r="1" spans="1:18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178</v>
      </c>
    </row>
    <row r="2" spans="1:18" x14ac:dyDescent="0.25">
      <c r="A2" t="s">
        <v>133</v>
      </c>
      <c r="C2" s="2" t="b">
        <v>0</v>
      </c>
      <c r="D2" s="2" t="b">
        <v>0</v>
      </c>
      <c r="F2" t="str">
        <f>IF(D2,IF(E2="","Pending SME Input",E2&amp;" (SME Override)"),IF(C2,"Fail","Pass"))</f>
        <v>Pass</v>
      </c>
      <c r="G2">
        <v>20.485242334742601</v>
      </c>
      <c r="L2" s="3" t="s">
        <v>24</v>
      </c>
      <c r="N2" t="s">
        <v>8</v>
      </c>
    </row>
    <row r="3" spans="1:18" x14ac:dyDescent="0.25">
      <c r="A3" t="s">
        <v>176</v>
      </c>
      <c r="C3" s="2" t="b">
        <v>0</v>
      </c>
      <c r="D3" s="2" t="b">
        <v>0</v>
      </c>
      <c r="F3" t="str">
        <f>IF(D3,IF(E3="","Pending SME Input",E3&amp;" (SME Override)"),IF(C3,"Fail","Pass"))</f>
        <v>Pass</v>
      </c>
      <c r="G3">
        <v>22.892061493493799</v>
      </c>
      <c r="L3" s="5" t="s">
        <v>15</v>
      </c>
      <c r="N3" t="s">
        <v>9</v>
      </c>
    </row>
    <row r="4" spans="1:18" x14ac:dyDescent="0.25">
      <c r="A4" t="s">
        <v>28</v>
      </c>
      <c r="B4" t="s">
        <v>21</v>
      </c>
      <c r="C4" s="2" t="b">
        <v>1</v>
      </c>
      <c r="D4" s="2" t="b">
        <v>0</v>
      </c>
      <c r="F4" t="str">
        <f>IF(D4,IF(E4="","Pending SME Input",E4&amp;" (SME Override)"),IF(C4,"Fail","Pass"))</f>
        <v>Fail</v>
      </c>
      <c r="G4">
        <v>23.0951677632114</v>
      </c>
      <c r="L4" s="4" t="s">
        <v>16</v>
      </c>
    </row>
    <row r="5" spans="1:18" x14ac:dyDescent="0.25">
      <c r="A5" t="s">
        <v>48</v>
      </c>
      <c r="C5" s="2" t="b">
        <v>0</v>
      </c>
      <c r="D5" s="2" t="b">
        <v>0</v>
      </c>
      <c r="F5" t="str">
        <f>IF(D5,IF(E5="","Pending SME Input",E5&amp;" (SME Override)"),IF(C5,"Fail","Pass"))</f>
        <v>Pass</v>
      </c>
      <c r="G5">
        <v>24.124449864130401</v>
      </c>
      <c r="L5" s="4" t="s">
        <v>17</v>
      </c>
      <c r="Q5" s="8"/>
      <c r="R5" s="8"/>
    </row>
    <row r="6" spans="1:18" x14ac:dyDescent="0.25">
      <c r="A6" t="s">
        <v>85</v>
      </c>
      <c r="C6" s="2" t="b">
        <v>0</v>
      </c>
      <c r="D6" s="2" t="b">
        <v>0</v>
      </c>
      <c r="F6" t="str">
        <f>IF(D6,IF(E6="","Pending SME Input",E6&amp;" (SME Override)"),IF(C6,"Fail","Pass"))</f>
        <v>Pass</v>
      </c>
      <c r="G6">
        <v>24.293357065804301</v>
      </c>
      <c r="L6" s="4" t="s">
        <v>18</v>
      </c>
    </row>
    <row r="7" spans="1:18" x14ac:dyDescent="0.25">
      <c r="A7" t="s">
        <v>92</v>
      </c>
      <c r="C7" s="2" t="b">
        <v>0</v>
      </c>
      <c r="D7" s="2" t="b">
        <v>0</v>
      </c>
      <c r="F7" t="str">
        <f>IF(D7,IF(E7="","Pending SME Input",E7&amp;" (SME Override)"),IF(C7,"Fail","Pass"))</f>
        <v>Pass</v>
      </c>
      <c r="G7">
        <v>24.3027438132602</v>
      </c>
      <c r="L7" s="4" t="s">
        <v>3</v>
      </c>
    </row>
    <row r="8" spans="1:18" x14ac:dyDescent="0.25">
      <c r="A8" t="s">
        <v>174</v>
      </c>
      <c r="C8" s="2" t="b">
        <v>0</v>
      </c>
      <c r="D8" s="2" t="b">
        <v>0</v>
      </c>
      <c r="F8" t="str">
        <f>IF(D8,IF(E8="","Pending SME Input",E8&amp;" (SME Override)"),IF(C8,"Fail","Pass"))</f>
        <v>Pass</v>
      </c>
      <c r="G8">
        <v>24.685889603566601</v>
      </c>
      <c r="L8" s="4" t="s">
        <v>4</v>
      </c>
    </row>
    <row r="9" spans="1:18" x14ac:dyDescent="0.25">
      <c r="A9" t="s">
        <v>175</v>
      </c>
      <c r="C9" s="2" t="b">
        <v>0</v>
      </c>
      <c r="D9" s="2" t="b">
        <v>0</v>
      </c>
      <c r="F9" t="str">
        <f>IF(D9,IF(E9="","Pending SME Input",E9&amp;" (SME Override)"),IF(C9,"Fail","Pass"))</f>
        <v>Pass</v>
      </c>
      <c r="G9">
        <v>24.843084354827401</v>
      </c>
      <c r="L9" s="4" t="s">
        <v>20</v>
      </c>
    </row>
    <row r="10" spans="1:18" x14ac:dyDescent="0.25">
      <c r="A10" t="s">
        <v>83</v>
      </c>
      <c r="C10" s="2" t="b">
        <v>0</v>
      </c>
      <c r="D10" s="2" t="b">
        <v>0</v>
      </c>
      <c r="F10" t="str">
        <f>IF(D10,IF(E10="","Pending SME Input",E10&amp;" (SME Override)"),IF(C10,"Fail","Pass"))</f>
        <v>Pass</v>
      </c>
      <c r="G10">
        <v>24.917343051044</v>
      </c>
      <c r="L10" s="4" t="s">
        <v>21</v>
      </c>
    </row>
    <row r="11" spans="1:18" x14ac:dyDescent="0.25">
      <c r="A11" t="s">
        <v>125</v>
      </c>
      <c r="C11" s="2" t="b">
        <v>0</v>
      </c>
      <c r="D11" s="2" t="b">
        <v>0</v>
      </c>
      <c r="F11" t="str">
        <f>IF(D11,IF(E11="","Pending SME Input",E11&amp;" (SME Override)"),IF(C11,"Fail","Pass"))</f>
        <v>Pass</v>
      </c>
      <c r="G11">
        <v>24.949990186552998</v>
      </c>
      <c r="L11" s="10" t="s">
        <v>23</v>
      </c>
    </row>
    <row r="12" spans="1:18" x14ac:dyDescent="0.25">
      <c r="A12" t="s">
        <v>81</v>
      </c>
      <c r="C12" s="2" t="b">
        <v>0</v>
      </c>
      <c r="D12" s="2" t="b">
        <v>0</v>
      </c>
      <c r="F12" t="str">
        <f>IF(D12,IF(E12="","Pending SME Input",E12&amp;" (SME Override)"),IF(C12,"Fail","Pass"))</f>
        <v>Pass</v>
      </c>
      <c r="G12">
        <v>25.022627294272301</v>
      </c>
    </row>
    <row r="13" spans="1:18" x14ac:dyDescent="0.25">
      <c r="A13" t="s">
        <v>69</v>
      </c>
      <c r="C13" s="2" t="b">
        <v>0</v>
      </c>
      <c r="D13" s="2" t="b">
        <v>0</v>
      </c>
      <c r="F13" t="str">
        <f>IF(D13,IF(E13="","Pending SME Input",E13&amp;" (SME Override)"),IF(C13,"Fail","Pass"))</f>
        <v>Pass</v>
      </c>
      <c r="G13">
        <v>25.126839389365099</v>
      </c>
    </row>
    <row r="14" spans="1:18" x14ac:dyDescent="0.25">
      <c r="A14" t="s">
        <v>47</v>
      </c>
      <c r="C14" s="2" t="b">
        <v>0</v>
      </c>
      <c r="D14" s="2" t="b">
        <v>0</v>
      </c>
      <c r="F14" t="str">
        <f>IF(D14,IF(E14="","Pending SME Input",E14&amp;" (SME Override)"),IF(C14,"Fail","Pass"))</f>
        <v>Pass</v>
      </c>
      <c r="G14">
        <v>25.153694469559401</v>
      </c>
    </row>
    <row r="15" spans="1:18" x14ac:dyDescent="0.25">
      <c r="A15" t="s">
        <v>105</v>
      </c>
      <c r="C15" s="2" t="b">
        <v>0</v>
      </c>
      <c r="D15" s="2" t="b">
        <v>0</v>
      </c>
      <c r="F15" t="str">
        <f>IF(D15,IF(E15="","Pending SME Input",E15&amp;" (SME Override)"),IF(C15,"Fail","Pass"))</f>
        <v>Pass</v>
      </c>
      <c r="G15">
        <v>25.190881580580101</v>
      </c>
    </row>
    <row r="16" spans="1:18" x14ac:dyDescent="0.25">
      <c r="A16" t="s">
        <v>78</v>
      </c>
      <c r="C16" s="2" t="b">
        <v>0</v>
      </c>
      <c r="D16" s="2" t="b">
        <v>0</v>
      </c>
      <c r="F16" t="str">
        <f>IF(D16,IF(E16="","Pending SME Input",E16&amp;" (SME Override)"),IF(C16,"Fail","Pass"))</f>
        <v>Pass</v>
      </c>
      <c r="G16">
        <v>25.230877646479598</v>
      </c>
    </row>
    <row r="17" spans="1:7" x14ac:dyDescent="0.25">
      <c r="A17" t="s">
        <v>161</v>
      </c>
      <c r="C17" s="2" t="b">
        <v>0</v>
      </c>
      <c r="D17" s="2" t="b">
        <v>0</v>
      </c>
      <c r="F17" t="str">
        <f>IF(D17,IF(E17="","Pending SME Input",E17&amp;" (SME Override)"),IF(C17,"Fail","Pass"))</f>
        <v>Pass</v>
      </c>
      <c r="G17">
        <v>25.352668839169599</v>
      </c>
    </row>
    <row r="18" spans="1:7" x14ac:dyDescent="0.25">
      <c r="A18" t="s">
        <v>106</v>
      </c>
      <c r="C18" s="2" t="b">
        <v>0</v>
      </c>
      <c r="D18" s="2" t="b">
        <v>0</v>
      </c>
      <c r="F18" t="str">
        <f>IF(D18,IF(E18="","Pending SME Input",E18&amp;" (SME Override)"),IF(C18,"Fail","Pass"))</f>
        <v>Pass</v>
      </c>
      <c r="G18">
        <v>25.724109115831599</v>
      </c>
    </row>
    <row r="19" spans="1:7" x14ac:dyDescent="0.25">
      <c r="A19" t="s">
        <v>27</v>
      </c>
      <c r="C19" s="2" t="b">
        <v>0</v>
      </c>
      <c r="D19" s="2" t="b">
        <v>0</v>
      </c>
      <c r="F19" t="str">
        <f>IF(D19,IF(E19="","Pending SME Input",E19&amp;" (SME Override)"),IF(C19,"Fail","Pass"))</f>
        <v>Pass</v>
      </c>
      <c r="G19">
        <v>25.849030570370601</v>
      </c>
    </row>
    <row r="20" spans="1:7" x14ac:dyDescent="0.25">
      <c r="A20" t="s">
        <v>42</v>
      </c>
      <c r="C20" s="2" t="b">
        <v>0</v>
      </c>
      <c r="D20" s="2" t="b">
        <v>0</v>
      </c>
      <c r="F20" t="str">
        <f>IF(D20,IF(E20="","Pending SME Input",E20&amp;" (SME Override)"),IF(C20,"Fail","Pass"))</f>
        <v>Pass</v>
      </c>
      <c r="G20">
        <v>26.3677326467797</v>
      </c>
    </row>
    <row r="21" spans="1:7" x14ac:dyDescent="0.25">
      <c r="A21" t="s">
        <v>45</v>
      </c>
      <c r="C21" s="2" t="b">
        <v>0</v>
      </c>
      <c r="D21" s="2" t="b">
        <v>0</v>
      </c>
      <c r="F21" t="str">
        <f>IF(D21,IF(E21="","Pending SME Input",E21&amp;" (SME Override)"),IF(C21,"Fail","Pass"))</f>
        <v>Pass</v>
      </c>
      <c r="G21">
        <v>26.409814869314101</v>
      </c>
    </row>
    <row r="22" spans="1:7" x14ac:dyDescent="0.25">
      <c r="A22" t="s">
        <v>90</v>
      </c>
      <c r="C22" s="2" t="b">
        <v>0</v>
      </c>
      <c r="D22" s="2" t="b">
        <v>0</v>
      </c>
      <c r="F22" t="str">
        <f>IF(D22,IF(E22="","Pending SME Input",E22&amp;" (SME Override)"),IF(C22,"Fail","Pass"))</f>
        <v>Pass</v>
      </c>
      <c r="G22">
        <v>26.5910775811655</v>
      </c>
    </row>
    <row r="23" spans="1:7" x14ac:dyDescent="0.25">
      <c r="A23" t="s">
        <v>162</v>
      </c>
      <c r="C23" s="2" t="b">
        <v>0</v>
      </c>
      <c r="D23" s="2" t="b">
        <v>0</v>
      </c>
      <c r="F23" t="str">
        <f>IF(D23,IF(E23="","Pending SME Input",E23&amp;" (SME Override)"),IF(C23,"Fail","Pass"))</f>
        <v>Pass</v>
      </c>
      <c r="G23">
        <v>26.601479567102</v>
      </c>
    </row>
    <row r="24" spans="1:7" x14ac:dyDescent="0.25">
      <c r="A24" t="s">
        <v>89</v>
      </c>
      <c r="C24" s="2" t="b">
        <v>0</v>
      </c>
      <c r="D24" s="2" t="b">
        <v>0</v>
      </c>
      <c r="F24" t="str">
        <f>IF(D24,IF(E24="","Pending SME Input",E24&amp;" (SME Override)"),IF(C24,"Fail","Pass"))</f>
        <v>Pass</v>
      </c>
      <c r="G24">
        <v>26.694280904369201</v>
      </c>
    </row>
    <row r="25" spans="1:7" x14ac:dyDescent="0.25">
      <c r="A25" t="s">
        <v>140</v>
      </c>
      <c r="C25" s="2" t="b">
        <v>0</v>
      </c>
      <c r="D25" s="2" t="b">
        <v>0</v>
      </c>
      <c r="F25" t="str">
        <f>IF(D25,IF(E25="","Pending SME Input",E25&amp;" (SME Override)"),IF(C25,"Fail","Pass"))</f>
        <v>Pass</v>
      </c>
      <c r="G25">
        <v>26.7071309569988</v>
      </c>
    </row>
    <row r="26" spans="1:7" x14ac:dyDescent="0.25">
      <c r="A26" t="s">
        <v>100</v>
      </c>
      <c r="C26" s="2" t="b">
        <v>0</v>
      </c>
      <c r="D26" s="2" t="b">
        <v>0</v>
      </c>
      <c r="F26" t="str">
        <f>IF(D26,IF(E26="","Pending SME Input",E26&amp;" (SME Override)"),IF(C26,"Fail","Pass"))</f>
        <v>Pass</v>
      </c>
      <c r="G26">
        <v>26.721010100249099</v>
      </c>
    </row>
    <row r="27" spans="1:7" x14ac:dyDescent="0.25">
      <c r="A27" t="s">
        <v>86</v>
      </c>
      <c r="C27" s="2" t="b">
        <v>0</v>
      </c>
      <c r="D27" s="2" t="b">
        <v>0</v>
      </c>
      <c r="F27" t="str">
        <f>IF(D27,IF(E27="","Pending SME Input",E27&amp;" (SME Override)"),IF(C27,"Fail","Pass"))</f>
        <v>Pass</v>
      </c>
      <c r="G27">
        <v>26.7215755405816</v>
      </c>
    </row>
    <row r="28" spans="1:7" x14ac:dyDescent="0.25">
      <c r="A28" t="s">
        <v>151</v>
      </c>
      <c r="B28" t="s">
        <v>21</v>
      </c>
      <c r="C28" s="2" t="b">
        <v>1</v>
      </c>
      <c r="D28" s="2" t="b">
        <v>0</v>
      </c>
      <c r="F28" t="str">
        <f>IF(D28,IF(E28="","Pending SME Input",E28&amp;" (SME Override)"),IF(C28,"Fail","Pass"))</f>
        <v>Fail</v>
      </c>
      <c r="G28">
        <v>26.744909379406199</v>
      </c>
    </row>
    <row r="29" spans="1:7" x14ac:dyDescent="0.25">
      <c r="A29" t="s">
        <v>163</v>
      </c>
      <c r="C29" s="2" t="b">
        <v>0</v>
      </c>
      <c r="D29" s="2" t="b">
        <v>0</v>
      </c>
      <c r="F29" t="str">
        <f>IF(D29,IF(E29="","Pending SME Input",E29&amp;" (SME Override)"),IF(C29,"Fail","Pass"))</f>
        <v>Pass</v>
      </c>
      <c r="G29">
        <v>26.785513161508302</v>
      </c>
    </row>
    <row r="30" spans="1:7" x14ac:dyDescent="0.25">
      <c r="A30" t="s">
        <v>131</v>
      </c>
      <c r="C30" s="2" t="b">
        <v>0</v>
      </c>
      <c r="D30" s="2" t="b">
        <v>0</v>
      </c>
      <c r="F30" t="str">
        <f>IF(D30,IF(E30="","Pending SME Input",E30&amp;" (SME Override)"),IF(C30,"Fail","Pass"))</f>
        <v>Pass</v>
      </c>
      <c r="G30">
        <v>34.453752015926398</v>
      </c>
    </row>
    <row r="31" spans="1:7" x14ac:dyDescent="0.25">
      <c r="A31" t="s">
        <v>149</v>
      </c>
      <c r="C31" s="2" t="b">
        <v>0</v>
      </c>
      <c r="D31" s="2" t="b">
        <v>0</v>
      </c>
      <c r="F31" t="str">
        <f>IF(D31,IF(E31="","Pending SME Input",E31&amp;" (SME Override)"),IF(C31,"Fail","Pass"))</f>
        <v>Pass</v>
      </c>
      <c r="G31">
        <v>26.918253575903101</v>
      </c>
    </row>
    <row r="32" spans="1:7" x14ac:dyDescent="0.25">
      <c r="A32" t="s">
        <v>49</v>
      </c>
      <c r="B32" t="s">
        <v>21</v>
      </c>
      <c r="C32" s="2" t="b">
        <v>1</v>
      </c>
      <c r="D32" s="2" t="b">
        <v>0</v>
      </c>
      <c r="F32" t="str">
        <f>IF(D32,IF(E32="","Pending SME Input",E32&amp;" (SME Override)"),IF(C32,"Fail","Pass"))</f>
        <v>Fail</v>
      </c>
      <c r="G32">
        <v>26.9219481849806</v>
      </c>
    </row>
    <row r="33" spans="1:7" x14ac:dyDescent="0.25">
      <c r="A33" t="s">
        <v>155</v>
      </c>
      <c r="C33" s="2" t="b">
        <v>0</v>
      </c>
      <c r="D33" s="2" t="b">
        <v>0</v>
      </c>
      <c r="F33" t="str">
        <f>IF(D33,IF(E33="","Pending SME Input",E33&amp;" (SME Override)"),IF(C33,"Fail","Pass"))</f>
        <v>Pass</v>
      </c>
      <c r="G33">
        <v>26.9269570371806</v>
      </c>
    </row>
    <row r="34" spans="1:7" x14ac:dyDescent="0.25">
      <c r="A34" t="s">
        <v>36</v>
      </c>
      <c r="C34" s="2" t="b">
        <v>0</v>
      </c>
      <c r="D34" s="2" t="b">
        <v>0</v>
      </c>
      <c r="F34" t="str">
        <f>IF(D34,IF(E34="","Pending SME Input",E34&amp;" (SME Override)"),IF(C34,"Fail","Pass"))</f>
        <v>Pass</v>
      </c>
      <c r="G34">
        <v>27.064344502456201</v>
      </c>
    </row>
    <row r="35" spans="1:7" x14ac:dyDescent="0.25">
      <c r="A35" t="s">
        <v>43</v>
      </c>
      <c r="C35" s="2" t="b">
        <v>0</v>
      </c>
      <c r="D35" s="2" t="b">
        <v>0</v>
      </c>
      <c r="F35" t="str">
        <f>IF(D35,IF(E35="","Pending SME Input",E35&amp;" (SME Override)"),IF(C35,"Fail","Pass"))</f>
        <v>Pass</v>
      </c>
      <c r="G35">
        <v>27.314664384907001</v>
      </c>
    </row>
    <row r="36" spans="1:7" x14ac:dyDescent="0.25">
      <c r="A36" t="s">
        <v>172</v>
      </c>
      <c r="B36" t="s">
        <v>21</v>
      </c>
      <c r="C36" s="2" t="b">
        <v>1</v>
      </c>
      <c r="D36" s="2" t="b">
        <v>0</v>
      </c>
      <c r="F36" t="str">
        <f>IF(D36,IF(E36="","Pending SME Input",E36&amp;" (SME Override)"),IF(C36,"Fail","Pass"))</f>
        <v>Fail</v>
      </c>
      <c r="G36">
        <v>27.516076845568001</v>
      </c>
    </row>
    <row r="37" spans="1:7" x14ac:dyDescent="0.25">
      <c r="A37" t="s">
        <v>102</v>
      </c>
      <c r="C37" s="2" t="b">
        <v>0</v>
      </c>
      <c r="D37" s="2" t="b">
        <v>0</v>
      </c>
      <c r="F37" t="str">
        <f>IF(D37,IF(E37="","Pending SME Input",E37&amp;" (SME Override)"),IF(C37,"Fail","Pass"))</f>
        <v>Pass</v>
      </c>
      <c r="G37">
        <v>27.6857966511404</v>
      </c>
    </row>
    <row r="38" spans="1:7" x14ac:dyDescent="0.25">
      <c r="A38" t="s">
        <v>171</v>
      </c>
      <c r="C38" s="2" t="b">
        <v>0</v>
      </c>
      <c r="D38" s="2" t="b">
        <v>0</v>
      </c>
      <c r="F38" t="str">
        <f>IF(D38,IF(E38="","Pending SME Input",E38&amp;" (SME Override)"),IF(C38,"Fail","Pass"))</f>
        <v>Pass</v>
      </c>
      <c r="G38">
        <v>27.731921006876998</v>
      </c>
    </row>
    <row r="39" spans="1:7" x14ac:dyDescent="0.25">
      <c r="A39" t="s">
        <v>51</v>
      </c>
      <c r="C39" s="2" t="b">
        <v>0</v>
      </c>
      <c r="D39" s="2" t="b">
        <v>0</v>
      </c>
      <c r="F39" t="str">
        <f>IF(D39,IF(E39="","Pending SME Input",E39&amp;" (SME Override)"),IF(C39,"Fail","Pass"))</f>
        <v>Pass</v>
      </c>
      <c r="G39">
        <v>27.736740455290601</v>
      </c>
    </row>
    <row r="40" spans="1:7" x14ac:dyDescent="0.25">
      <c r="A40" t="s">
        <v>53</v>
      </c>
      <c r="C40" s="2" t="b">
        <v>0</v>
      </c>
      <c r="D40" s="2" t="b">
        <v>0</v>
      </c>
      <c r="F40" t="str">
        <f>IF(D40,IF(E40="","Pending SME Input",E40&amp;" (SME Override)"),IF(C40,"Fail","Pass"))</f>
        <v>Pass</v>
      </c>
      <c r="G40">
        <v>27.791967268793599</v>
      </c>
    </row>
    <row r="41" spans="1:7" x14ac:dyDescent="0.25">
      <c r="A41" t="s">
        <v>117</v>
      </c>
      <c r="C41" s="2" t="b">
        <v>0</v>
      </c>
      <c r="D41" s="2" t="b">
        <v>0</v>
      </c>
      <c r="F41" t="str">
        <f>IF(D41,IF(E41="","Pending SME Input",E41&amp;" (SME Override)"),IF(C41,"Fail","Pass"))</f>
        <v>Pass</v>
      </c>
      <c r="G41">
        <v>27.805290049635399</v>
      </c>
    </row>
    <row r="42" spans="1:7" x14ac:dyDescent="0.25">
      <c r="A42" t="s">
        <v>146</v>
      </c>
      <c r="C42" s="2" t="b">
        <v>0</v>
      </c>
      <c r="D42" s="2" t="b">
        <v>0</v>
      </c>
      <c r="F42" t="str">
        <f>IF(D42,IF(E42="","Pending SME Input",E42&amp;" (SME Override)"),IF(C42,"Fail","Pass"))</f>
        <v>Pass</v>
      </c>
      <c r="G42">
        <v>27.824595143344599</v>
      </c>
    </row>
    <row r="43" spans="1:7" x14ac:dyDescent="0.25">
      <c r="A43" t="s">
        <v>41</v>
      </c>
      <c r="C43" s="2" t="b">
        <v>0</v>
      </c>
      <c r="D43" s="2" t="b">
        <v>0</v>
      </c>
      <c r="F43" t="str">
        <f>IF(D43,IF(E43="","Pending SME Input",E43&amp;" (SME Override)"),IF(C43,"Fail","Pass"))</f>
        <v>Pass</v>
      </c>
      <c r="G43">
        <v>27.863982487719799</v>
      </c>
    </row>
    <row r="44" spans="1:7" x14ac:dyDescent="0.25">
      <c r="A44" t="s">
        <v>154</v>
      </c>
      <c r="C44" s="2" t="b">
        <v>0</v>
      </c>
      <c r="D44" s="2" t="b">
        <v>0</v>
      </c>
      <c r="F44" t="str">
        <f>IF(D44,IF(E44="","Pending SME Input",E44&amp;" (SME Override)"),IF(C44,"Fail","Pass"))</f>
        <v>Pass</v>
      </c>
      <c r="G44">
        <v>27.8781642725239</v>
      </c>
    </row>
    <row r="45" spans="1:7" x14ac:dyDescent="0.25">
      <c r="A45" t="s">
        <v>31</v>
      </c>
      <c r="C45" s="2" t="b">
        <v>0</v>
      </c>
      <c r="D45" s="2" t="b">
        <v>0</v>
      </c>
      <c r="F45" t="str">
        <f>IF(D45,IF(E45="","Pending SME Input",E45&amp;" (SME Override)"),IF(C45,"Fail","Pass"))</f>
        <v>Pass</v>
      </c>
      <c r="G45">
        <v>27.932368258139</v>
      </c>
    </row>
    <row r="46" spans="1:7" x14ac:dyDescent="0.25">
      <c r="A46" t="s">
        <v>70</v>
      </c>
      <c r="B46" t="s">
        <v>21</v>
      </c>
      <c r="C46" s="2" t="b">
        <v>1</v>
      </c>
      <c r="D46" s="2" t="b">
        <v>0</v>
      </c>
      <c r="F46" t="str">
        <f>IF(D46,IF(E46="","Pending SME Input",E46&amp;" (SME Override)"),IF(C46,"Fail","Pass"))</f>
        <v>Fail</v>
      </c>
      <c r="G46">
        <v>28.020978314536102</v>
      </c>
    </row>
    <row r="47" spans="1:7" x14ac:dyDescent="0.25">
      <c r="A47" t="s">
        <v>84</v>
      </c>
      <c r="C47" s="2" t="b">
        <v>0</v>
      </c>
      <c r="D47" s="2" t="b">
        <v>0</v>
      </c>
      <c r="F47" t="str">
        <f>IF(D47,IF(E47="","Pending SME Input",E47&amp;" (SME Override)"),IF(C47,"Fail","Pass"))</f>
        <v>Pass</v>
      </c>
      <c r="G47">
        <v>28.0217366206751</v>
      </c>
    </row>
    <row r="48" spans="1:7" x14ac:dyDescent="0.25">
      <c r="A48" t="s">
        <v>39</v>
      </c>
      <c r="C48" s="2" t="b">
        <v>0</v>
      </c>
      <c r="D48" s="2" t="b">
        <v>0</v>
      </c>
      <c r="F48" t="str">
        <f>IF(D48,IF(E48="","Pending SME Input",E48&amp;" (SME Override)"),IF(C48,"Fail","Pass"))</f>
        <v>Pass</v>
      </c>
      <c r="G48">
        <v>28.0718478546924</v>
      </c>
    </row>
    <row r="49" spans="1:7" x14ac:dyDescent="0.25">
      <c r="A49" t="s">
        <v>153</v>
      </c>
      <c r="C49" s="2" t="b">
        <v>0</v>
      </c>
      <c r="D49" s="2" t="b">
        <v>0</v>
      </c>
      <c r="F49" t="str">
        <f>IF(D49,IF(E49="","Pending SME Input",E49&amp;" (SME Override)"),IF(C49,"Fail","Pass"))</f>
        <v>Pass</v>
      </c>
      <c r="G49">
        <v>28.201386069901901</v>
      </c>
    </row>
    <row r="50" spans="1:7" x14ac:dyDescent="0.25">
      <c r="A50" t="s">
        <v>59</v>
      </c>
      <c r="C50" s="2" t="b">
        <v>0</v>
      </c>
      <c r="D50" s="2" t="b">
        <v>0</v>
      </c>
      <c r="F50" t="str">
        <f>IF(D50,IF(E50="","Pending SME Input",E50&amp;" (SME Override)"),IF(C50,"Fail","Pass"))</f>
        <v>Pass</v>
      </c>
      <c r="G50">
        <v>28.231019674926198</v>
      </c>
    </row>
    <row r="51" spans="1:7" x14ac:dyDescent="0.25">
      <c r="A51" t="s">
        <v>101</v>
      </c>
      <c r="C51" s="2" t="b">
        <v>0</v>
      </c>
      <c r="D51" s="2" t="b">
        <v>0</v>
      </c>
      <c r="F51" t="str">
        <f>IF(D51,IF(E51="","Pending SME Input",E51&amp;" (SME Override)"),IF(C51,"Fail","Pass"))</f>
        <v>Pass</v>
      </c>
      <c r="G51">
        <v>28.355494406154101</v>
      </c>
    </row>
    <row r="52" spans="1:7" x14ac:dyDescent="0.25">
      <c r="A52" t="s">
        <v>76</v>
      </c>
      <c r="C52" s="2" t="b">
        <v>0</v>
      </c>
      <c r="D52" s="2" t="b">
        <v>0</v>
      </c>
      <c r="F52" t="str">
        <f>IF(D52,IF(E52="","Pending SME Input",E52&amp;" (SME Override)"),IF(C52,"Fail","Pass"))</f>
        <v>Pass</v>
      </c>
      <c r="G52">
        <v>28.404633995567899</v>
      </c>
    </row>
    <row r="53" spans="1:7" x14ac:dyDescent="0.25">
      <c r="A53" t="s">
        <v>35</v>
      </c>
      <c r="C53" s="2" t="b">
        <v>0</v>
      </c>
      <c r="D53" s="2" t="b">
        <v>0</v>
      </c>
      <c r="F53" t="str">
        <f>IF(D53,IF(E53="","Pending SME Input",E53&amp;" (SME Override)"),IF(C53,"Fail","Pass"))</f>
        <v>Pass</v>
      </c>
      <c r="G53">
        <v>28.473574509089602</v>
      </c>
    </row>
    <row r="54" spans="1:7" x14ac:dyDescent="0.25">
      <c r="A54" t="s">
        <v>127</v>
      </c>
      <c r="C54" s="2" t="b">
        <v>0</v>
      </c>
      <c r="D54" s="2" t="b">
        <v>0</v>
      </c>
      <c r="F54" t="str">
        <f>IF(D54,IF(E54="","Pending SME Input",E54&amp;" (SME Override)"),IF(C54,"Fail","Pass"))</f>
        <v>Pass</v>
      </c>
      <c r="G54">
        <v>28.487443120604699</v>
      </c>
    </row>
    <row r="55" spans="1:7" x14ac:dyDescent="0.25">
      <c r="A55" t="s">
        <v>104</v>
      </c>
      <c r="C55" s="2" t="b">
        <v>0</v>
      </c>
      <c r="D55" s="2" t="b">
        <v>0</v>
      </c>
      <c r="F55" t="str">
        <f>IF(D55,IF(E55="","Pending SME Input",E55&amp;" (SME Override)"),IF(C55,"Fail","Pass"))</f>
        <v>Pass</v>
      </c>
      <c r="G55">
        <v>28.552921832013102</v>
      </c>
    </row>
    <row r="56" spans="1:7" x14ac:dyDescent="0.25">
      <c r="A56" t="s">
        <v>33</v>
      </c>
      <c r="C56" s="2" t="b">
        <v>0</v>
      </c>
      <c r="D56" s="2" t="b">
        <v>0</v>
      </c>
      <c r="F56" t="str">
        <f>IF(D56,IF(E56="","Pending SME Input",E56&amp;" (SME Override)"),IF(C56,"Fail","Pass"))</f>
        <v>Pass</v>
      </c>
      <c r="G56">
        <v>28.589843073251899</v>
      </c>
    </row>
    <row r="57" spans="1:7" x14ac:dyDescent="0.25">
      <c r="A57" t="s">
        <v>34</v>
      </c>
      <c r="C57" s="2" t="b">
        <v>0</v>
      </c>
      <c r="D57" s="2" t="b">
        <v>0</v>
      </c>
      <c r="F57" t="str">
        <f>IF(D57,IF(E57="","Pending SME Input",E57&amp;" (SME Override)"),IF(C57,"Fail","Pass"))</f>
        <v>Pass</v>
      </c>
      <c r="G57">
        <v>28.590244927452499</v>
      </c>
    </row>
    <row r="58" spans="1:7" x14ac:dyDescent="0.25">
      <c r="A58" t="s">
        <v>71</v>
      </c>
      <c r="C58" s="2" t="b">
        <v>0</v>
      </c>
      <c r="D58" s="2" t="b">
        <v>0</v>
      </c>
      <c r="F58" t="str">
        <f>IF(D58,IF(E58="","Pending SME Input",E58&amp;" (SME Override)"),IF(C58,"Fail","Pass"))</f>
        <v>Pass</v>
      </c>
      <c r="G58">
        <v>28.625305107631501</v>
      </c>
    </row>
    <row r="59" spans="1:7" x14ac:dyDescent="0.25">
      <c r="A59" t="s">
        <v>37</v>
      </c>
      <c r="C59" s="2" t="b">
        <v>0</v>
      </c>
      <c r="D59" s="2" t="b">
        <v>0</v>
      </c>
      <c r="F59" t="str">
        <f>IF(D59,IF(E59="","Pending SME Input",E59&amp;" (SME Override)"),IF(C59,"Fail","Pass"))</f>
        <v>Pass</v>
      </c>
      <c r="G59">
        <v>28.676849451217201</v>
      </c>
    </row>
    <row r="60" spans="1:7" x14ac:dyDescent="0.25">
      <c r="A60" t="s">
        <v>129</v>
      </c>
      <c r="C60" s="2" t="b">
        <v>0</v>
      </c>
      <c r="D60" s="2" t="b">
        <v>0</v>
      </c>
      <c r="F60" t="str">
        <f>IF(D60,IF(E60="","Pending SME Input",E60&amp;" (SME Override)"),IF(C60,"Fail","Pass"))</f>
        <v>Pass</v>
      </c>
      <c r="G60">
        <v>28.691035217864101</v>
      </c>
    </row>
    <row r="61" spans="1:7" x14ac:dyDescent="0.25">
      <c r="A61" t="s">
        <v>80</v>
      </c>
      <c r="C61" s="2" t="b">
        <v>0</v>
      </c>
      <c r="D61" s="2" t="b">
        <v>0</v>
      </c>
      <c r="F61" t="str">
        <f>IF(D61,IF(E61="","Pending SME Input",E61&amp;" (SME Override)"),IF(C61,"Fail","Pass"))</f>
        <v>Pass</v>
      </c>
      <c r="G61">
        <v>28.756048650743399</v>
      </c>
    </row>
    <row r="62" spans="1:7" x14ac:dyDescent="0.25">
      <c r="A62" t="s">
        <v>173</v>
      </c>
      <c r="C62" s="2" t="b">
        <v>0</v>
      </c>
      <c r="D62" s="2" t="b">
        <v>0</v>
      </c>
      <c r="F62" t="str">
        <f>IF(D62,IF(E62="","Pending SME Input",E62&amp;" (SME Override)"),IF(C62,"Fail","Pass"))</f>
        <v>Pass</v>
      </c>
      <c r="G62">
        <v>28.804036634102101</v>
      </c>
    </row>
    <row r="63" spans="1:7" x14ac:dyDescent="0.25">
      <c r="A63" t="s">
        <v>46</v>
      </c>
      <c r="C63" s="2" t="b">
        <v>0</v>
      </c>
      <c r="D63" s="2" t="b">
        <v>0</v>
      </c>
      <c r="F63" t="str">
        <f>IF(D63,IF(E63="","Pending SME Input",E63&amp;" (SME Override)"),IF(C63,"Fail","Pass"))</f>
        <v>Pass</v>
      </c>
      <c r="G63">
        <v>28.908468595798201</v>
      </c>
    </row>
    <row r="64" spans="1:7" x14ac:dyDescent="0.25">
      <c r="A64" t="s">
        <v>44</v>
      </c>
      <c r="C64" s="2" t="b">
        <v>0</v>
      </c>
      <c r="D64" s="2" t="b">
        <v>0</v>
      </c>
      <c r="F64" t="str">
        <f>IF(D64,IF(E64="","Pending SME Input",E64&amp;" (SME Override)"),IF(C64,"Fail","Pass"))</f>
        <v>Pass</v>
      </c>
      <c r="G64">
        <v>28.915870381837401</v>
      </c>
    </row>
    <row r="65" spans="1:7" x14ac:dyDescent="0.25">
      <c r="A65" t="s">
        <v>91</v>
      </c>
      <c r="C65" s="2" t="b">
        <v>0</v>
      </c>
      <c r="D65" s="2" t="b">
        <v>0</v>
      </c>
      <c r="F65" t="str">
        <f>IF(D65,IF(E65="","Pending SME Input",E65&amp;" (SME Override)"),IF(C65,"Fail","Pass"))</f>
        <v>Pass</v>
      </c>
      <c r="G65">
        <v>28.935638805356099</v>
      </c>
    </row>
    <row r="66" spans="1:7" x14ac:dyDescent="0.25">
      <c r="A66" t="s">
        <v>77</v>
      </c>
      <c r="C66" s="2" t="b">
        <v>0</v>
      </c>
      <c r="D66" s="2" t="b">
        <v>0</v>
      </c>
      <c r="F66" t="str">
        <f>IF(D66,IF(E66="","Pending SME Input",E66&amp;" (SME Override)"),IF(C66,"Fail","Pass"))</f>
        <v>Pass</v>
      </c>
      <c r="G66">
        <v>29.1058325108662</v>
      </c>
    </row>
    <row r="67" spans="1:7" x14ac:dyDescent="0.25">
      <c r="A67" t="s">
        <v>79</v>
      </c>
      <c r="C67" s="2" t="b">
        <v>0</v>
      </c>
      <c r="D67" s="2" t="b">
        <v>0</v>
      </c>
      <c r="F67" t="str">
        <f>IF(D67,IF(E67="","Pending SME Input",E67&amp;" (SME Override)"),IF(C67,"Fail","Pass"))</f>
        <v>Pass</v>
      </c>
      <c r="G67">
        <v>29.2054140490301</v>
      </c>
    </row>
    <row r="68" spans="1:7" x14ac:dyDescent="0.25">
      <c r="A68" t="s">
        <v>158</v>
      </c>
      <c r="C68" s="2" t="b">
        <v>0</v>
      </c>
      <c r="D68" s="2" t="b">
        <v>0</v>
      </c>
      <c r="F68" t="str">
        <f>IF(D68,IF(E68="","Pending SME Input",E68&amp;" (SME Override)"),IF(C68,"Fail","Pass"))</f>
        <v>Pass</v>
      </c>
      <c r="G68">
        <v>29.208347439881098</v>
      </c>
    </row>
    <row r="69" spans="1:7" x14ac:dyDescent="0.25">
      <c r="A69" t="s">
        <v>75</v>
      </c>
      <c r="C69" s="2" t="b">
        <v>0</v>
      </c>
      <c r="D69" s="2" t="b">
        <v>0</v>
      </c>
      <c r="F69" t="str">
        <f>IF(D69,IF(E69="","Pending SME Input",E69&amp;" (SME Override)"),IF(C69,"Fail","Pass"))</f>
        <v>Pass</v>
      </c>
      <c r="G69">
        <v>29.3102532635891</v>
      </c>
    </row>
    <row r="70" spans="1:7" x14ac:dyDescent="0.25">
      <c r="A70" t="s">
        <v>72</v>
      </c>
      <c r="C70" s="2" t="b">
        <v>0</v>
      </c>
      <c r="D70" s="2" t="b">
        <v>0</v>
      </c>
      <c r="F70" t="str">
        <f>IF(D70,IF(E70="","Pending SME Input",E70&amp;" (SME Override)"),IF(C70,"Fail","Pass"))</f>
        <v>Pass</v>
      </c>
      <c r="G70">
        <v>29.3122123692334</v>
      </c>
    </row>
    <row r="71" spans="1:7" x14ac:dyDescent="0.25">
      <c r="A71" t="s">
        <v>99</v>
      </c>
      <c r="C71" s="2" t="b">
        <v>0</v>
      </c>
      <c r="D71" s="2" t="b">
        <v>0</v>
      </c>
      <c r="F71" t="str">
        <f>IF(D71,IF(E71="","Pending SME Input",E71&amp;" (SME Override)"),IF(C71,"Fail","Pass"))</f>
        <v>Pass</v>
      </c>
      <c r="G71">
        <v>29.322332359779999</v>
      </c>
    </row>
    <row r="72" spans="1:7" x14ac:dyDescent="0.25">
      <c r="A72" t="s">
        <v>169</v>
      </c>
      <c r="C72" s="2" t="b">
        <v>0</v>
      </c>
      <c r="D72" s="2" t="b">
        <v>0</v>
      </c>
      <c r="F72" t="str">
        <f>IF(D72,IF(E72="","Pending SME Input",E72&amp;" (SME Override)"),IF(C72,"Fail","Pass"))</f>
        <v>Pass</v>
      </c>
      <c r="G72">
        <v>29.332366394592</v>
      </c>
    </row>
    <row r="73" spans="1:7" x14ac:dyDescent="0.25">
      <c r="A73" t="s">
        <v>26</v>
      </c>
      <c r="C73" s="2" t="b">
        <v>0</v>
      </c>
      <c r="D73" s="2" t="b">
        <v>0</v>
      </c>
      <c r="F73" t="str">
        <f>IF(D73,IF(E73="","Pending SME Input",E73&amp;" (SME Override)"),IF(C73,"Fail","Pass"))</f>
        <v>Pass</v>
      </c>
      <c r="G73">
        <v>29.350915988458699</v>
      </c>
    </row>
    <row r="74" spans="1:7" x14ac:dyDescent="0.25">
      <c r="A74" t="s">
        <v>159</v>
      </c>
      <c r="B74" t="s">
        <v>21</v>
      </c>
      <c r="C74" s="2" t="b">
        <v>1</v>
      </c>
      <c r="D74" s="2" t="b">
        <v>0</v>
      </c>
      <c r="F74" t="str">
        <f>IF(D74,IF(E74="","Pending SME Input",E74&amp;" (SME Override)"),IF(C74,"Fail","Pass"))</f>
        <v>Fail</v>
      </c>
      <c r="G74">
        <v>29.409238598584</v>
      </c>
    </row>
    <row r="75" spans="1:7" x14ac:dyDescent="0.25">
      <c r="A75" t="s">
        <v>137</v>
      </c>
      <c r="C75" s="2" t="b">
        <v>0</v>
      </c>
      <c r="D75" s="2" t="b">
        <v>0</v>
      </c>
      <c r="F75" t="str">
        <f>IF(D75,IF(E75="","Pending SME Input",E75&amp;" (SME Override)"),IF(C75,"Fail","Pass"))</f>
        <v>Pass</v>
      </c>
      <c r="G75">
        <v>29.443578678477401</v>
      </c>
    </row>
    <row r="76" spans="1:7" x14ac:dyDescent="0.25">
      <c r="A76" t="s">
        <v>150</v>
      </c>
      <c r="C76" s="2" t="b">
        <v>0</v>
      </c>
      <c r="D76" s="2" t="b">
        <v>0</v>
      </c>
      <c r="F76" t="str">
        <f>IF(D76,IF(E76="","Pending SME Input",E76&amp;" (SME Override)"),IF(C76,"Fail","Pass"))</f>
        <v>Pass</v>
      </c>
      <c r="G76">
        <v>29.506574505531301</v>
      </c>
    </row>
    <row r="77" spans="1:7" x14ac:dyDescent="0.25">
      <c r="A77" t="s">
        <v>98</v>
      </c>
      <c r="B77" t="s">
        <v>21</v>
      </c>
      <c r="C77" s="2" t="b">
        <v>1</v>
      </c>
      <c r="D77" s="2" t="b">
        <v>0</v>
      </c>
      <c r="F77" t="str">
        <f>IF(D77,IF(E77="","Pending SME Input",E77&amp;" (SME Override)"),IF(C77,"Fail","Pass"))</f>
        <v>Fail</v>
      </c>
      <c r="G77">
        <v>29.636884941152001</v>
      </c>
    </row>
    <row r="78" spans="1:7" x14ac:dyDescent="0.25">
      <c r="A78" t="s">
        <v>143</v>
      </c>
      <c r="C78" s="2" t="b">
        <v>0</v>
      </c>
      <c r="D78" s="2" t="b">
        <v>0</v>
      </c>
      <c r="F78" t="str">
        <f>IF(D78,IF(E78="","Pending SME Input",E78&amp;" (SME Override)"),IF(C78,"Fail","Pass"))</f>
        <v>Pass</v>
      </c>
      <c r="G78">
        <v>29.712152767444898</v>
      </c>
    </row>
    <row r="79" spans="1:7" x14ac:dyDescent="0.25">
      <c r="A79" t="s">
        <v>30</v>
      </c>
      <c r="C79" s="2" t="b">
        <v>0</v>
      </c>
      <c r="D79" s="2" t="b">
        <v>0</v>
      </c>
      <c r="F79" t="str">
        <f>IF(D79,IF(E79="","Pending SME Input",E79&amp;" (SME Override)"),IF(C79,"Fail","Pass"))</f>
        <v>Pass</v>
      </c>
      <c r="G79">
        <v>29.783514352321401</v>
      </c>
    </row>
    <row r="80" spans="1:7" x14ac:dyDescent="0.25">
      <c r="A80" t="s">
        <v>54</v>
      </c>
      <c r="C80" s="2" t="b">
        <v>0</v>
      </c>
      <c r="D80" s="2" t="b">
        <v>0</v>
      </c>
      <c r="F80" t="str">
        <f>IF(D80,IF(E80="","Pending SME Input",E80&amp;" (SME Override)"),IF(C80,"Fail","Pass"))</f>
        <v>Pass</v>
      </c>
      <c r="G80">
        <v>29.983514104311901</v>
      </c>
    </row>
    <row r="81" spans="1:7" x14ac:dyDescent="0.25">
      <c r="A81" t="s">
        <v>135</v>
      </c>
      <c r="C81" s="2" t="b">
        <v>0</v>
      </c>
      <c r="D81" s="2" t="b">
        <v>0</v>
      </c>
      <c r="F81" t="str">
        <f>IF(D81,IF(E81="","Pending SME Input",E81&amp;" (SME Override)"),IF(C81,"Fail","Pass"))</f>
        <v>Pass</v>
      </c>
      <c r="G81">
        <v>34.3299788326363</v>
      </c>
    </row>
    <row r="82" spans="1:7" x14ac:dyDescent="0.25">
      <c r="A82" t="s">
        <v>119</v>
      </c>
      <c r="B82" t="s">
        <v>21</v>
      </c>
      <c r="C82" s="2" t="b">
        <v>1</v>
      </c>
      <c r="D82" s="2" t="b">
        <v>0</v>
      </c>
      <c r="F82" t="str">
        <f>IF(D82,IF(E82="","Pending SME Input",E82&amp;" (SME Override)"),IF(C82,"Fail","Pass"))</f>
        <v>Fail</v>
      </c>
      <c r="G82">
        <v>30.255464408594399</v>
      </c>
    </row>
    <row r="83" spans="1:7" x14ac:dyDescent="0.25">
      <c r="A83" t="s">
        <v>82</v>
      </c>
      <c r="B83" t="s">
        <v>21</v>
      </c>
      <c r="C83" s="2" t="b">
        <v>1</v>
      </c>
      <c r="D83" s="2" t="b">
        <v>0</v>
      </c>
      <c r="F83" t="str">
        <f>IF(D83,IF(E83="","Pending SME Input",E83&amp;" (SME Override)"),IF(C83,"Fail","Pass"))</f>
        <v>Fail</v>
      </c>
      <c r="G83">
        <v>30.307363200377601</v>
      </c>
    </row>
    <row r="84" spans="1:7" x14ac:dyDescent="0.25">
      <c r="A84" t="s">
        <v>139</v>
      </c>
      <c r="C84" s="2" t="b">
        <v>0</v>
      </c>
      <c r="D84" s="2" t="b">
        <v>0</v>
      </c>
      <c r="F84" t="str">
        <f>IF(D84,IF(E84="","Pending SME Input",E84&amp;" (SME Override)"),IF(C84,"Fail","Pass"))</f>
        <v>Pass</v>
      </c>
      <c r="G84">
        <v>33.393207458708297</v>
      </c>
    </row>
    <row r="85" spans="1:7" x14ac:dyDescent="0.25">
      <c r="A85" t="s">
        <v>141</v>
      </c>
      <c r="C85" s="2" t="b">
        <v>0</v>
      </c>
      <c r="D85" s="2" t="b">
        <v>0</v>
      </c>
      <c r="F85" t="str">
        <f>IF(D85,IF(E85="","Pending SME Input",E85&amp;" (SME Override)"),IF(C85,"Fail","Pass"))</f>
        <v>Pass</v>
      </c>
      <c r="G85">
        <v>32.049119749527399</v>
      </c>
    </row>
    <row r="86" spans="1:7" x14ac:dyDescent="0.25">
      <c r="A86" t="s">
        <v>63</v>
      </c>
      <c r="B86" t="s">
        <v>21</v>
      </c>
      <c r="C86" s="2" t="b">
        <v>1</v>
      </c>
      <c r="D86" s="2" t="b">
        <v>0</v>
      </c>
      <c r="F86" t="str">
        <f>IF(D86,IF(E86="","Pending SME Input",E86&amp;" (SME Override)"),IF(C86,"Fail","Pass"))</f>
        <v>Fail</v>
      </c>
      <c r="G86">
        <v>30.458661363308799</v>
      </c>
    </row>
    <row r="87" spans="1:7" x14ac:dyDescent="0.25">
      <c r="A87" t="s">
        <v>145</v>
      </c>
      <c r="C87" s="2" t="b">
        <v>0</v>
      </c>
      <c r="D87" s="2" t="b">
        <v>0</v>
      </c>
      <c r="F87" t="str">
        <f>IF(D87,IF(E87="","Pending SME Input",E87&amp;" (SME Override)"),IF(C87,"Fail","Pass"))</f>
        <v>Pass</v>
      </c>
      <c r="G87">
        <v>33.061610975923202</v>
      </c>
    </row>
    <row r="88" spans="1:7" x14ac:dyDescent="0.25">
      <c r="A88" t="s">
        <v>157</v>
      </c>
      <c r="C88" s="2" t="b">
        <v>0</v>
      </c>
      <c r="D88" s="2" t="b">
        <v>0</v>
      </c>
      <c r="F88" t="str">
        <f>IF(D88,IF(E88="","Pending SME Input",E88&amp;" (SME Override)"),IF(C88,"Fail","Pass"))</f>
        <v>Pass</v>
      </c>
      <c r="G88">
        <v>30.395339151020501</v>
      </c>
    </row>
    <row r="89" spans="1:7" x14ac:dyDescent="0.25">
      <c r="A89" t="s">
        <v>107</v>
      </c>
      <c r="C89" s="2" t="b">
        <v>0</v>
      </c>
      <c r="D89" s="2" t="b">
        <v>0</v>
      </c>
      <c r="F89" t="str">
        <f>IF(D89,IF(E89="","Pending SME Input",E89&amp;" (SME Override)"),IF(C89,"Fail","Pass"))</f>
        <v>Pass</v>
      </c>
      <c r="G89">
        <v>31.273105769440701</v>
      </c>
    </row>
    <row r="90" spans="1:7" x14ac:dyDescent="0.25">
      <c r="A90" t="s">
        <v>109</v>
      </c>
      <c r="B90" t="s">
        <v>15</v>
      </c>
      <c r="C90" s="2" t="b">
        <v>1</v>
      </c>
      <c r="D90" s="2" t="b">
        <v>0</v>
      </c>
      <c r="F90" t="str">
        <f>IF(D90,IF(E90="","Pending SME Input",E90&amp;" (SME Override)"),IF(C90,"Fail","Pass"))</f>
        <v>Fail</v>
      </c>
      <c r="G90">
        <v>38.9868626550942</v>
      </c>
    </row>
    <row r="91" spans="1:7" x14ac:dyDescent="0.25">
      <c r="A91" t="s">
        <v>115</v>
      </c>
      <c r="C91" s="2" t="b">
        <v>0</v>
      </c>
      <c r="D91" s="2" t="b">
        <v>0</v>
      </c>
      <c r="F91" t="str">
        <f>IF(D91,IF(E91="","Pending SME Input",E91&amp;" (SME Override)"),IF(C91,"Fail","Pass"))</f>
        <v>Pass</v>
      </c>
      <c r="G91">
        <v>33.314198288298698</v>
      </c>
    </row>
    <row r="92" spans="1:7" x14ac:dyDescent="0.25">
      <c r="A92" t="s">
        <v>121</v>
      </c>
      <c r="C92" s="2" t="b">
        <v>0</v>
      </c>
      <c r="D92" s="2" t="b">
        <v>0</v>
      </c>
      <c r="F92" t="str">
        <f>IF(D92,IF(E92="","Pending SME Input",E92&amp;" (SME Override)"),IF(C92,"Fail","Pass"))</f>
        <v>Pass</v>
      </c>
      <c r="G92">
        <v>30.993260770423301</v>
      </c>
    </row>
    <row r="93" spans="1:7" x14ac:dyDescent="0.25">
      <c r="A93" t="s">
        <v>123</v>
      </c>
      <c r="C93" s="2" t="b">
        <v>0</v>
      </c>
      <c r="D93" s="2" t="b">
        <v>0</v>
      </c>
      <c r="F93" t="str">
        <f>IF(D93,IF(E93="","Pending SME Input",E93&amp;" (SME Override)"),IF(C93,"Fail","Pass"))</f>
        <v>Pass</v>
      </c>
      <c r="G93">
        <v>31.4683095496429</v>
      </c>
    </row>
    <row r="94" spans="1:7" x14ac:dyDescent="0.25">
      <c r="A94" t="s">
        <v>166</v>
      </c>
      <c r="C94" s="2" t="b">
        <v>0</v>
      </c>
      <c r="D94" s="2" t="b">
        <v>0</v>
      </c>
      <c r="F94" t="str">
        <f>IF(D94,IF(E94="","Pending SME Input",E94&amp;" (SME Override)"),IF(C94,"Fail","Pass"))</f>
        <v>Pass</v>
      </c>
      <c r="G94">
        <v>30.4481562653508</v>
      </c>
    </row>
    <row r="95" spans="1:7" x14ac:dyDescent="0.25">
      <c r="A95" t="s">
        <v>167</v>
      </c>
      <c r="C95" s="2" t="b">
        <v>0</v>
      </c>
      <c r="D95" s="2" t="b">
        <v>0</v>
      </c>
      <c r="F95" t="str">
        <f>IF(D95,IF(E95="","Pending SME Input",E95&amp;" (SME Override)"),IF(C95,"Fail","Pass"))</f>
        <v>Pass</v>
      </c>
      <c r="G95">
        <v>35.760398091476098</v>
      </c>
    </row>
    <row r="96" spans="1:7" x14ac:dyDescent="0.25">
      <c r="A96" t="s">
        <v>136</v>
      </c>
      <c r="C96" s="2" t="b">
        <v>0</v>
      </c>
      <c r="D96" s="2" t="b">
        <v>0</v>
      </c>
      <c r="F96" t="str">
        <f>IF(D96,IF(E96="","Pending SME Input",E96&amp;" (SME Override)"),IF(C96,"Fail","Pass"))</f>
        <v>Pass</v>
      </c>
      <c r="G96">
        <v>32.642735396633299</v>
      </c>
    </row>
    <row r="97" spans="1:7" x14ac:dyDescent="0.25">
      <c r="A97" t="s">
        <v>138</v>
      </c>
      <c r="C97" s="2" t="b">
        <v>0</v>
      </c>
      <c r="D97" s="2" t="b">
        <v>0</v>
      </c>
      <c r="F97" t="str">
        <f>IF(D97,IF(E97="","Pending SME Input",E97&amp;" (SME Override)"),IF(C97,"Fail","Pass"))</f>
        <v>Pass</v>
      </c>
      <c r="G97">
        <v>33.592761565034003</v>
      </c>
    </row>
    <row r="98" spans="1:7" x14ac:dyDescent="0.25">
      <c r="A98" t="s">
        <v>142</v>
      </c>
      <c r="C98" s="2" t="b">
        <v>0</v>
      </c>
      <c r="D98" s="2" t="b">
        <v>0</v>
      </c>
      <c r="F98" t="str">
        <f>IF(D98,IF(E98="","Pending SME Input",E98&amp;" (SME Override)"),IF(C98,"Fail","Pass"))</f>
        <v>Pass</v>
      </c>
      <c r="G98">
        <v>33.545558466006298</v>
      </c>
    </row>
    <row r="99" spans="1:7" x14ac:dyDescent="0.25">
      <c r="A99" t="s">
        <v>144</v>
      </c>
      <c r="C99" s="2" t="b">
        <v>0</v>
      </c>
      <c r="D99" s="2" t="b">
        <v>0</v>
      </c>
      <c r="F99" t="str">
        <f>IF(D99,IF(E99="","Pending SME Input",E99&amp;" (SME Override)"),IF(C99,"Fail","Pass"))</f>
        <v>Pass</v>
      </c>
      <c r="G99">
        <v>34.558046616559402</v>
      </c>
    </row>
    <row r="100" spans="1:7" x14ac:dyDescent="0.25">
      <c r="A100" t="s">
        <v>170</v>
      </c>
      <c r="B100" t="s">
        <v>21</v>
      </c>
      <c r="C100" s="2" t="b">
        <v>1</v>
      </c>
      <c r="D100" s="2" t="b">
        <v>0</v>
      </c>
      <c r="F100" t="str">
        <f>IF(D100,IF(E100="","Pending SME Input",E100&amp;" (SME Override)"),IF(C100,"Fail","Pass"))</f>
        <v>Fail</v>
      </c>
      <c r="G100">
        <v>31.190318229323399</v>
      </c>
    </row>
    <row r="101" spans="1:7" x14ac:dyDescent="0.25">
      <c r="A101" t="s">
        <v>148</v>
      </c>
      <c r="C101" s="2" t="b">
        <v>0</v>
      </c>
      <c r="D101" s="2" t="b">
        <v>0</v>
      </c>
      <c r="F101" t="str">
        <f>IF(D101,IF(E101="","Pending SME Input",E101&amp;" (SME Override)"),IF(C101,"Fail","Pass"))</f>
        <v>Pass</v>
      </c>
      <c r="G101">
        <v>30.520381870745901</v>
      </c>
    </row>
    <row r="102" spans="1:7" x14ac:dyDescent="0.25">
      <c r="A102" t="s">
        <v>116</v>
      </c>
      <c r="B102" t="s">
        <v>3</v>
      </c>
      <c r="C102" s="2" t="b">
        <v>1</v>
      </c>
      <c r="D102" s="2" t="b">
        <v>0</v>
      </c>
      <c r="F102" t="str">
        <f>IF(D102,IF(E102="","Pending SME Input",E102&amp;" (SME Override)"),IF(C102,"Fail","Pass"))</f>
        <v>Fail</v>
      </c>
      <c r="G102">
        <v>31.309796494085301</v>
      </c>
    </row>
    <row r="103" spans="1:7" x14ac:dyDescent="0.25">
      <c r="A103" t="s">
        <v>152</v>
      </c>
      <c r="C103" s="2" t="b">
        <v>0</v>
      </c>
      <c r="D103" s="2" t="b">
        <v>0</v>
      </c>
      <c r="F103" t="str">
        <f>IF(D103,IF(E103="","Pending SME Input",E103&amp;" (SME Override)"),IF(C103,"Fail","Pass"))</f>
        <v>Pass</v>
      </c>
      <c r="G103">
        <v>30.842848698230998</v>
      </c>
    </row>
    <row r="104" spans="1:7" x14ac:dyDescent="0.25">
      <c r="A104" t="s">
        <v>108</v>
      </c>
      <c r="C104" s="2" t="b">
        <v>0</v>
      </c>
      <c r="D104" s="2" t="b">
        <v>0</v>
      </c>
      <c r="F104" t="str">
        <f>IF(D104,IF(E104="","Pending SME Input",E104&amp;" (SME Override)"),IF(C104,"Fail","Pass"))</f>
        <v>Pass</v>
      </c>
      <c r="G104">
        <v>30.038858100376299</v>
      </c>
    </row>
    <row r="105" spans="1:7" x14ac:dyDescent="0.25">
      <c r="A105" t="s">
        <v>110</v>
      </c>
      <c r="C105" s="2" t="b">
        <v>0</v>
      </c>
      <c r="D105" s="2" t="b">
        <v>0</v>
      </c>
      <c r="F105" t="str">
        <f>IF(D105,IF(E105="","Pending SME Input",E105&amp;" (SME Override)"),IF(C105,"Fail","Pass"))</f>
        <v>Pass</v>
      </c>
      <c r="G105">
        <v>31.064301441283401</v>
      </c>
    </row>
    <row r="106" spans="1:7" x14ac:dyDescent="0.25">
      <c r="A106" t="s">
        <v>112</v>
      </c>
      <c r="C106" s="2" t="b">
        <v>0</v>
      </c>
      <c r="D106" s="2" t="b">
        <v>0</v>
      </c>
      <c r="F106" t="str">
        <f>IF(D106,IF(E106="","Pending SME Input",E106&amp;" (SME Override)"),IF(C106,"Fail","Pass"))</f>
        <v>Pass</v>
      </c>
      <c r="G106">
        <v>33.935029449807502</v>
      </c>
    </row>
    <row r="107" spans="1:7" x14ac:dyDescent="0.25">
      <c r="A107" t="s">
        <v>114</v>
      </c>
      <c r="C107" s="2" t="b">
        <v>0</v>
      </c>
      <c r="D107" s="2" t="b">
        <v>0</v>
      </c>
      <c r="F107" t="str">
        <f>IF(D107,IF(E107="","Pending SME Input",E107&amp;" (SME Override)"),IF(C107,"Fail","Pass"))</f>
        <v>Pass</v>
      </c>
      <c r="G107">
        <v>33.054939899645198</v>
      </c>
    </row>
    <row r="108" spans="1:7" x14ac:dyDescent="0.25">
      <c r="A108" t="s">
        <v>118</v>
      </c>
      <c r="C108" s="2" t="b">
        <v>0</v>
      </c>
      <c r="D108" s="2" t="b">
        <v>0</v>
      </c>
      <c r="F108" t="str">
        <f>IF(D108,IF(E108="","Pending SME Input",E108&amp;" (SME Override)"),IF(C108,"Fail","Pass"))</f>
        <v>Pass</v>
      </c>
      <c r="G108">
        <v>31.898284380639701</v>
      </c>
    </row>
    <row r="109" spans="1:7" x14ac:dyDescent="0.25">
      <c r="A109" t="s">
        <v>122</v>
      </c>
      <c r="C109" s="2" t="b">
        <v>0</v>
      </c>
      <c r="D109" s="2" t="b">
        <v>0</v>
      </c>
      <c r="F109" t="str">
        <f>IF(D109,IF(E109="","Pending SME Input",E109&amp;" (SME Override)"),IF(C109,"Fail","Pass"))</f>
        <v>Pass</v>
      </c>
      <c r="G109">
        <v>32.547633205113698</v>
      </c>
    </row>
    <row r="110" spans="1:7" x14ac:dyDescent="0.25">
      <c r="A110" t="s">
        <v>147</v>
      </c>
      <c r="B110" t="s">
        <v>21</v>
      </c>
      <c r="C110" s="2" t="b">
        <v>1</v>
      </c>
      <c r="D110" s="2" t="b">
        <v>0</v>
      </c>
      <c r="F110" t="str">
        <f>IF(D110,IF(E110="","Pending SME Input",E110&amp;" (SME Override)"),IF(C110,"Fail","Pass"))</f>
        <v>Fail</v>
      </c>
      <c r="G110">
        <v>32.283427780172197</v>
      </c>
    </row>
    <row r="111" spans="1:7" x14ac:dyDescent="0.25">
      <c r="A111" t="s">
        <v>124</v>
      </c>
      <c r="C111" s="2" t="b">
        <v>0</v>
      </c>
      <c r="D111" s="2" t="b">
        <v>0</v>
      </c>
      <c r="F111" t="str">
        <f>IF(D111,IF(E111="","Pending SME Input",E111&amp;" (SME Override)"),IF(C111,"Fail","Pass"))</f>
        <v>Pass</v>
      </c>
      <c r="G111">
        <v>31.1212428946159</v>
      </c>
    </row>
    <row r="112" spans="1:7" x14ac:dyDescent="0.25">
      <c r="A112" t="s">
        <v>60</v>
      </c>
      <c r="B112" t="s">
        <v>21</v>
      </c>
      <c r="C112" s="2" t="b">
        <v>1</v>
      </c>
      <c r="D112" s="2" t="b">
        <v>0</v>
      </c>
      <c r="F112" t="str">
        <f>IF(D112,IF(E112="","Pending SME Input",E112&amp;" (SME Override)"),IF(C112,"Fail","Pass"))</f>
        <v>Fail</v>
      </c>
      <c r="G112">
        <v>32.432844382063799</v>
      </c>
    </row>
    <row r="113" spans="1:7" x14ac:dyDescent="0.25">
      <c r="A113" t="s">
        <v>126</v>
      </c>
      <c r="C113" s="2" t="b">
        <v>0</v>
      </c>
      <c r="D113" s="2" t="b">
        <v>0</v>
      </c>
      <c r="F113" t="str">
        <f>IF(D113,IF(E113="","Pending SME Input",E113&amp;" (SME Override)"),IF(C113,"Fail","Pass"))</f>
        <v>Pass</v>
      </c>
      <c r="G113">
        <v>30.959822075720101</v>
      </c>
    </row>
    <row r="114" spans="1:7" x14ac:dyDescent="0.25">
      <c r="A114" t="s">
        <v>128</v>
      </c>
      <c r="C114" s="2" t="b">
        <v>0</v>
      </c>
      <c r="D114" s="2" t="b">
        <v>0</v>
      </c>
      <c r="F114" t="str">
        <f>IF(D114,IF(E114="","Pending SME Input",E114&amp;" (SME Override)"),IF(C114,"Fail","Pass"))</f>
        <v>Pass</v>
      </c>
      <c r="G114">
        <v>31.0674624436306</v>
      </c>
    </row>
    <row r="115" spans="1:7" x14ac:dyDescent="0.25">
      <c r="A115" t="s">
        <v>38</v>
      </c>
      <c r="C115" s="2" t="b">
        <v>0</v>
      </c>
      <c r="D115" s="2" t="b">
        <v>0</v>
      </c>
      <c r="F115" t="str">
        <f>IF(D115,IF(E115="","Pending SME Input",E115&amp;" (SME Override)"),IF(C115,"Fail","Pass"))</f>
        <v>Pass</v>
      </c>
      <c r="G115">
        <v>31.3705398324052</v>
      </c>
    </row>
    <row r="116" spans="1:7" x14ac:dyDescent="0.25">
      <c r="A116" t="s">
        <v>40</v>
      </c>
      <c r="C116" s="2" t="b">
        <v>0</v>
      </c>
      <c r="D116" s="2" t="b">
        <v>0</v>
      </c>
      <c r="F116" t="str">
        <f>IF(D116,IF(E116="","Pending SME Input",E116&amp;" (SME Override)"),IF(C116,"Fail","Pass"))</f>
        <v>Pass</v>
      </c>
      <c r="G116">
        <v>30.466197000165</v>
      </c>
    </row>
    <row r="117" spans="1:7" x14ac:dyDescent="0.25">
      <c r="A117" t="s">
        <v>50</v>
      </c>
      <c r="B117" t="s">
        <v>15</v>
      </c>
      <c r="C117" s="2" t="b">
        <v>1</v>
      </c>
      <c r="D117" s="2" t="b">
        <v>0</v>
      </c>
      <c r="F117" t="str">
        <f>IF(D117,IF(E117="","Pending SME Input",E117&amp;" (SME Override)"),IF(C117,"Fail","Pass"))</f>
        <v>Fail</v>
      </c>
      <c r="G117">
        <v>41.635431030956902</v>
      </c>
    </row>
    <row r="118" spans="1:7" x14ac:dyDescent="0.25">
      <c r="A118" t="s">
        <v>52</v>
      </c>
      <c r="C118" s="2" t="b">
        <v>0</v>
      </c>
      <c r="D118" s="2" t="b">
        <v>0</v>
      </c>
      <c r="F118" t="str">
        <f>IF(D118,IF(E118="","Pending SME Input",E118&amp;" (SME Override)"),IF(C118,"Fail","Pass"))</f>
        <v>Pass</v>
      </c>
      <c r="G118">
        <v>33.529826136959699</v>
      </c>
    </row>
    <row r="119" spans="1:7" x14ac:dyDescent="0.25">
      <c r="A119" t="s">
        <v>56</v>
      </c>
      <c r="C119" s="2" t="b">
        <v>0</v>
      </c>
      <c r="D119" s="2" t="b">
        <v>0</v>
      </c>
      <c r="F119" t="str">
        <f>IF(D119,IF(E119="","Pending SME Input",E119&amp;" (SME Override)"),IF(C119,"Fail","Pass"))</f>
        <v>Pass</v>
      </c>
      <c r="G119">
        <v>34.653673349819499</v>
      </c>
    </row>
    <row r="120" spans="1:7" x14ac:dyDescent="0.25">
      <c r="A120" t="s">
        <v>58</v>
      </c>
      <c r="B120" t="s">
        <v>15</v>
      </c>
      <c r="C120" s="2" t="b">
        <v>1</v>
      </c>
      <c r="D120" s="2" t="b">
        <v>0</v>
      </c>
      <c r="F120" t="str">
        <f>IF(D120,IF(E120="","Pending SME Input",E120&amp;" (SME Override)"),IF(C120,"Fail","Pass"))</f>
        <v>Fail</v>
      </c>
      <c r="G120">
        <v>38.613792593853098</v>
      </c>
    </row>
    <row r="121" spans="1:7" x14ac:dyDescent="0.25">
      <c r="A121" t="s">
        <v>62</v>
      </c>
      <c r="B121" t="s">
        <v>15</v>
      </c>
      <c r="C121" s="2" t="b">
        <v>1</v>
      </c>
      <c r="D121" s="2" t="b">
        <v>0</v>
      </c>
      <c r="F121" t="str">
        <f>IF(D121,IF(E121="","Pending SME Input",E121&amp;" (SME Override)"),IF(C121,"Fail","Pass"))</f>
        <v>Fail</v>
      </c>
      <c r="G121">
        <v>40.416475455622503</v>
      </c>
    </row>
    <row r="122" spans="1:7" x14ac:dyDescent="0.25">
      <c r="A122" t="s">
        <v>111</v>
      </c>
      <c r="B122" t="s">
        <v>21</v>
      </c>
      <c r="C122" s="2" t="b">
        <v>1</v>
      </c>
      <c r="D122" s="2" t="b">
        <v>0</v>
      </c>
      <c r="F122" t="str">
        <f>IF(D122,IF(E122="","Pending SME Input",E122&amp;" (SME Override)"),IF(C122,"Fail","Pass"))</f>
        <v>Fail</v>
      </c>
      <c r="G122">
        <v>33.436899314647803</v>
      </c>
    </row>
    <row r="123" spans="1:7" x14ac:dyDescent="0.25">
      <c r="A123" t="s">
        <v>64</v>
      </c>
      <c r="C123" s="2" t="b">
        <v>0</v>
      </c>
      <c r="D123" s="2" t="b">
        <v>0</v>
      </c>
      <c r="F123" t="str">
        <f>IF(D123,IF(E123="","Pending SME Input",E123&amp;" (SME Override)"),IF(C123,"Fail","Pass"))</f>
        <v>Pass</v>
      </c>
      <c r="G123">
        <v>32.590044253032602</v>
      </c>
    </row>
    <row r="124" spans="1:7" x14ac:dyDescent="0.25">
      <c r="A124" t="s">
        <v>66</v>
      </c>
      <c r="C124" s="2" t="b">
        <v>0</v>
      </c>
      <c r="D124" s="2" t="b">
        <v>0</v>
      </c>
      <c r="F124" t="str">
        <f>IF(D124,IF(E124="","Pending SME Input",E124&amp;" (SME Override)"),IF(C124,"Fail","Pass"))</f>
        <v>Pass</v>
      </c>
      <c r="G124">
        <v>34.693215100321503</v>
      </c>
    </row>
    <row r="125" spans="1:7" x14ac:dyDescent="0.25">
      <c r="A125" t="s">
        <v>68</v>
      </c>
      <c r="C125" s="2" t="b">
        <v>0</v>
      </c>
      <c r="D125" s="2" t="b">
        <v>0</v>
      </c>
      <c r="F125" t="str">
        <f>IF(D125,IF(E125="","Pending SME Input",E125&amp;" (SME Override)"),IF(C125,"Fail","Pass"))</f>
        <v>Pass</v>
      </c>
      <c r="G125">
        <v>34.010772614709701</v>
      </c>
    </row>
    <row r="126" spans="1:7" x14ac:dyDescent="0.25">
      <c r="A126" t="s">
        <v>32</v>
      </c>
      <c r="C126" s="2" t="b">
        <v>0</v>
      </c>
      <c r="D126" s="2" t="b">
        <v>0</v>
      </c>
      <c r="F126" t="str">
        <f>IF(D126,IF(E126="","Pending SME Input",E126&amp;" (SME Override)"),IF(C126,"Fail","Pass"))</f>
        <v>Pass</v>
      </c>
      <c r="G126">
        <v>31.665305921045899</v>
      </c>
    </row>
    <row r="127" spans="1:7" x14ac:dyDescent="0.25">
      <c r="A127" t="s">
        <v>74</v>
      </c>
      <c r="C127" s="2" t="b">
        <v>0</v>
      </c>
      <c r="D127" s="2" t="b">
        <v>0</v>
      </c>
      <c r="F127" t="str">
        <f>IF(D127,IF(E127="","Pending SME Input",E127&amp;" (SME Override)"),IF(C127,"Fail","Pass"))</f>
        <v>Pass</v>
      </c>
      <c r="G127">
        <v>30.5391474146757</v>
      </c>
    </row>
    <row r="128" spans="1:7" x14ac:dyDescent="0.25">
      <c r="A128" t="s">
        <v>25</v>
      </c>
      <c r="C128" s="2" t="b">
        <v>0</v>
      </c>
      <c r="D128" s="2" t="b">
        <v>0</v>
      </c>
      <c r="F128" t="str">
        <f>IF(D128,IF(E128="","Pending SME Input",E128&amp;" (SME Override)"),IF(C128,"Fail","Pass"))</f>
        <v>Pass</v>
      </c>
      <c r="G128">
        <v>31.571763499472802</v>
      </c>
    </row>
    <row r="129" spans="1:7" x14ac:dyDescent="0.25">
      <c r="A129" t="s">
        <v>29</v>
      </c>
      <c r="C129" s="2" t="b">
        <v>0</v>
      </c>
      <c r="D129" s="2" t="b">
        <v>0</v>
      </c>
      <c r="F129" t="str">
        <f>IF(D129,IF(E129="","Pending SME Input",E129&amp;" (SME Override)"),IF(C129,"Fail","Pass"))</f>
        <v>Pass</v>
      </c>
      <c r="G129">
        <v>32.151089398657902</v>
      </c>
    </row>
    <row r="130" spans="1:7" x14ac:dyDescent="0.25">
      <c r="A130" t="s">
        <v>55</v>
      </c>
      <c r="B130" t="s">
        <v>15</v>
      </c>
      <c r="C130" s="2" t="b">
        <v>1</v>
      </c>
      <c r="D130" s="2" t="b">
        <v>0</v>
      </c>
      <c r="F130" t="str">
        <f>IF(D130,IF(E130="","Pending SME Input",E130&amp;" (SME Override)"),IF(C130,"Fail","Pass"))</f>
        <v>Fail</v>
      </c>
      <c r="G130">
        <v>43.2480963084367</v>
      </c>
    </row>
    <row r="131" spans="1:7" x14ac:dyDescent="0.25">
      <c r="A131" t="s">
        <v>57</v>
      </c>
      <c r="C131" s="2" t="b">
        <v>0</v>
      </c>
      <c r="D131" s="2" t="b">
        <v>0</v>
      </c>
      <c r="F131" t="str">
        <f>IF(D131,IF(E131="","Pending SME Input",E131&amp;" (SME Override)"),IF(C131,"Fail","Pass"))</f>
        <v>Pass</v>
      </c>
      <c r="G131">
        <v>33.523044116652898</v>
      </c>
    </row>
    <row r="132" spans="1:7" x14ac:dyDescent="0.25">
      <c r="A132" t="s">
        <v>61</v>
      </c>
      <c r="C132" s="2" t="b">
        <v>0</v>
      </c>
      <c r="D132" s="2" t="b">
        <v>0</v>
      </c>
      <c r="F132" t="str">
        <f>IF(D132,IF(E132="","Pending SME Input",E132&amp;" (SME Override)"),IF(C132,"Fail","Pass"))</f>
        <v>Pass</v>
      </c>
      <c r="G132">
        <v>33.494435127258001</v>
      </c>
    </row>
    <row r="133" spans="1:7" x14ac:dyDescent="0.25">
      <c r="A133" t="s">
        <v>65</v>
      </c>
      <c r="B133" t="s">
        <v>23</v>
      </c>
      <c r="C133" s="2" t="b">
        <v>1</v>
      </c>
      <c r="D133" s="2" t="b">
        <v>0</v>
      </c>
      <c r="F133" t="str">
        <f>IF(D133,IF(E133="","Pending SME Input",E133&amp;" (SME Override)"),IF(C133,"Fail","Pass"))</f>
        <v>Fail</v>
      </c>
      <c r="G133">
        <v>26.824128679311901</v>
      </c>
    </row>
    <row r="134" spans="1:7" x14ac:dyDescent="0.25">
      <c r="A134" t="s">
        <v>73</v>
      </c>
      <c r="C134" s="2" t="b">
        <v>0</v>
      </c>
      <c r="D134" s="2" t="b">
        <v>0</v>
      </c>
      <c r="F134" t="str">
        <f>IF(D134,IF(E134="","Pending SME Input",E134&amp;" (SME Override)"),IF(C134,"Fail","Pass"))</f>
        <v>Pass</v>
      </c>
      <c r="G134">
        <v>30.630268528085502</v>
      </c>
    </row>
    <row r="135" spans="1:7" x14ac:dyDescent="0.25">
      <c r="A135" t="s">
        <v>120</v>
      </c>
      <c r="B135" t="s">
        <v>21</v>
      </c>
      <c r="C135" s="2" t="b">
        <v>1</v>
      </c>
      <c r="D135" s="2" t="b">
        <v>0</v>
      </c>
      <c r="F135" t="str">
        <f>IF(D135,IF(E135="","Pending SME Input",E135&amp;" (SME Override)"),IF(C135,"Fail","Pass"))</f>
        <v>Fail</v>
      </c>
      <c r="G135">
        <v>34.921439126601001</v>
      </c>
    </row>
    <row r="136" spans="1:7" x14ac:dyDescent="0.25">
      <c r="A136" t="s">
        <v>93</v>
      </c>
      <c r="C136" s="2" t="b">
        <v>0</v>
      </c>
      <c r="D136" s="2" t="b">
        <v>0</v>
      </c>
      <c r="F136" t="str">
        <f>IF(D136,IF(E136="","Pending SME Input",E136&amp;" (SME Override)"),IF(C136,"Fail","Pass"))</f>
        <v>Pass</v>
      </c>
      <c r="G136">
        <v>34.993279276401701</v>
      </c>
    </row>
    <row r="137" spans="1:7" x14ac:dyDescent="0.25">
      <c r="A137" t="s">
        <v>94</v>
      </c>
      <c r="C137" s="2" t="b">
        <v>0</v>
      </c>
      <c r="D137" s="2" t="b">
        <v>0</v>
      </c>
      <c r="F137" t="str">
        <f>IF(D137,IF(E137="","Pending SME Input",E137&amp;" (SME Override)"),IF(C137,"Fail","Pass"))</f>
        <v>Pass</v>
      </c>
      <c r="G137">
        <v>32.809913847953602</v>
      </c>
    </row>
    <row r="138" spans="1:7" x14ac:dyDescent="0.25">
      <c r="A138" t="s">
        <v>96</v>
      </c>
      <c r="B138" t="s">
        <v>21</v>
      </c>
      <c r="C138" s="2" t="b">
        <v>1</v>
      </c>
      <c r="D138" s="2" t="b">
        <v>0</v>
      </c>
      <c r="F138" t="str">
        <f>IF(D138,IF(E138="","Pending SME Input",E138&amp;" (SME Override)"),IF(C138,"Fail","Pass"))</f>
        <v>Fail</v>
      </c>
      <c r="G138">
        <v>36.249856838275399</v>
      </c>
    </row>
    <row r="139" spans="1:7" x14ac:dyDescent="0.25">
      <c r="A139" t="s">
        <v>168</v>
      </c>
      <c r="B139" t="s">
        <v>3</v>
      </c>
      <c r="C139" s="2" t="b">
        <v>1</v>
      </c>
      <c r="D139" s="2" t="b">
        <v>0</v>
      </c>
      <c r="F139" t="str">
        <f>IF(D139,IF(E139="","Pending SME Input",E139&amp;" (SME Override)"),IF(C139,"Fail","Pass"))</f>
        <v>Fail</v>
      </c>
      <c r="G139">
        <v>38.251797638185202</v>
      </c>
    </row>
    <row r="140" spans="1:7" x14ac:dyDescent="0.25">
      <c r="A140" t="s">
        <v>67</v>
      </c>
      <c r="B140" t="s">
        <v>21</v>
      </c>
      <c r="C140" s="2" t="b">
        <v>1</v>
      </c>
      <c r="D140" s="2" t="b">
        <v>0</v>
      </c>
      <c r="F140" t="str">
        <f>IF(D140,IF(E140="","Pending SME Input",E140&amp;" (SME Override)"),IF(C140,"Fail","Pass"))</f>
        <v>Fail</v>
      </c>
      <c r="G140">
        <v>38.264844343505303</v>
      </c>
    </row>
    <row r="141" spans="1:7" x14ac:dyDescent="0.25">
      <c r="A141" t="s">
        <v>95</v>
      </c>
      <c r="C141" s="2" t="b">
        <v>0</v>
      </c>
      <c r="D141" s="2" t="b">
        <v>0</v>
      </c>
      <c r="F141" t="str">
        <f>IF(D141,IF(E141="","Pending SME Input",E141&amp;" (SME Override)"),IF(C141,"Fail","Pass"))</f>
        <v>Pass</v>
      </c>
      <c r="G141">
        <v>32.4048641589672</v>
      </c>
    </row>
    <row r="142" spans="1:7" x14ac:dyDescent="0.25">
      <c r="A142" t="s">
        <v>97</v>
      </c>
      <c r="C142" s="2" t="b">
        <v>0</v>
      </c>
      <c r="D142" s="2" t="b">
        <v>0</v>
      </c>
      <c r="F142" t="str">
        <f>IF(D142,IF(E142="","Pending SME Input",E142&amp;" (SME Override)"),IF(C142,"Fail","Pass"))</f>
        <v>Pass</v>
      </c>
      <c r="G142">
        <v>30.919330061922</v>
      </c>
    </row>
    <row r="143" spans="1:7" x14ac:dyDescent="0.25">
      <c r="A143" t="s">
        <v>103</v>
      </c>
      <c r="C143" s="2" t="b">
        <v>0</v>
      </c>
      <c r="D143" s="2" t="b">
        <v>0</v>
      </c>
      <c r="F143" t="str">
        <f>IF(D143,IF(E143="","Pending SME Input",E143&amp;" (SME Override)"),IF(C143,"Fail","Pass"))</f>
        <v>Pass</v>
      </c>
      <c r="G143">
        <v>33.231537057848797</v>
      </c>
    </row>
    <row r="144" spans="1:7" x14ac:dyDescent="0.25">
      <c r="A144" t="s">
        <v>87</v>
      </c>
      <c r="C144" s="2" t="b">
        <v>0</v>
      </c>
      <c r="D144" s="2" t="b">
        <v>0</v>
      </c>
      <c r="F144" t="str">
        <f>IF(D144,IF(E144="","Pending SME Input",E144&amp;" (SME Override)"),IF(C144,"Fail","Pass"))</f>
        <v>Pass</v>
      </c>
      <c r="G144">
        <v>30.483354503559401</v>
      </c>
    </row>
    <row r="145" spans="1:7" x14ac:dyDescent="0.25">
      <c r="A145" t="s">
        <v>88</v>
      </c>
      <c r="C145" s="2" t="b">
        <v>0</v>
      </c>
      <c r="D145" s="2" t="b">
        <v>0</v>
      </c>
      <c r="F145" t="str">
        <f>IF(D145,IF(E145="","Pending SME Input",E145&amp;" (SME Override)"),IF(C145,"Fail","Pass"))</f>
        <v>Pass</v>
      </c>
      <c r="G145">
        <v>30.9893283722921</v>
      </c>
    </row>
    <row r="146" spans="1:7" x14ac:dyDescent="0.25">
      <c r="A146" t="s">
        <v>113</v>
      </c>
      <c r="B146" t="s">
        <v>21</v>
      </c>
      <c r="C146" s="2" t="b">
        <v>1</v>
      </c>
      <c r="D146" s="2" t="b">
        <v>0</v>
      </c>
      <c r="F146" t="str">
        <f>IF(D146,IF(E146="","Pending SME Input",E146&amp;" (SME Override)"),IF(C146,"Fail","Pass"))</f>
        <v>Fail</v>
      </c>
    </row>
    <row r="147" spans="1:7" x14ac:dyDescent="0.25">
      <c r="A147" t="s">
        <v>165</v>
      </c>
      <c r="B147" t="s">
        <v>21</v>
      </c>
      <c r="C147" s="2" t="b">
        <v>1</v>
      </c>
      <c r="D147" s="2" t="b">
        <v>0</v>
      </c>
      <c r="F147" t="str">
        <f>IF(D147,IF(E147="","Pending SME Input",E147&amp;" (SME Override)"),IF(C147,"Fail","Pass"))</f>
        <v>Fail</v>
      </c>
    </row>
    <row r="148" spans="1:7" x14ac:dyDescent="0.25">
      <c r="A148" t="s">
        <v>134</v>
      </c>
      <c r="B148" t="s">
        <v>21</v>
      </c>
      <c r="C148" s="2" t="b">
        <v>1</v>
      </c>
      <c r="D148" s="2" t="b">
        <v>0</v>
      </c>
      <c r="F148" t="str">
        <f>IF(D148,IF(E148="","Pending SME Input",E148&amp;" (SME Override)"),IF(C148,"Fail","Pass"))</f>
        <v>Fail</v>
      </c>
    </row>
    <row r="149" spans="1:7" x14ac:dyDescent="0.25">
      <c r="A149" t="s">
        <v>156</v>
      </c>
      <c r="B149" t="s">
        <v>21</v>
      </c>
      <c r="C149" s="2" t="b">
        <v>1</v>
      </c>
      <c r="D149" s="2" t="b">
        <v>0</v>
      </c>
      <c r="F149" t="str">
        <f>IF(D149,IF(E149="","Pending SME Input",E149&amp;" (SME Override)"),IF(C149,"Fail","Pass"))</f>
        <v>Fail</v>
      </c>
    </row>
    <row r="150" spans="1:7" x14ac:dyDescent="0.25">
      <c r="A150" t="s">
        <v>160</v>
      </c>
      <c r="B150" t="s">
        <v>21</v>
      </c>
      <c r="C150" s="2" t="b">
        <v>1</v>
      </c>
      <c r="D150" s="2" t="b">
        <v>0</v>
      </c>
      <c r="F150" t="str">
        <f>IF(D150,IF(E150="","Pending SME Input",E150&amp;" (SME Override)"),IF(C150,"Fail","Pass"))</f>
        <v>Fail</v>
      </c>
    </row>
    <row r="151" spans="1:7" x14ac:dyDescent="0.25">
      <c r="A151" t="s">
        <v>164</v>
      </c>
      <c r="B151" t="s">
        <v>21</v>
      </c>
      <c r="C151" s="2" t="b">
        <v>1</v>
      </c>
      <c r="D151" s="2" t="b">
        <v>0</v>
      </c>
      <c r="F151" t="str">
        <f>IF(D151,IF(E151="","Pending SME Input",E151&amp;" (SME Override)"),IF(C151,"Fail","Pass"))</f>
        <v>Fail</v>
      </c>
    </row>
    <row r="152" spans="1:7" x14ac:dyDescent="0.25">
      <c r="A152" t="s">
        <v>130</v>
      </c>
      <c r="B152" t="s">
        <v>21</v>
      </c>
      <c r="C152" s="2" t="b">
        <v>1</v>
      </c>
      <c r="D152" s="2" t="b">
        <v>0</v>
      </c>
      <c r="F152" t="str">
        <f>IF(D152,IF(E152="","Pending SME Input",E152&amp;" (SME Override)"),IF(C152,"Fail","Pass"))</f>
        <v>Fail</v>
      </c>
    </row>
    <row r="153" spans="1:7" x14ac:dyDescent="0.25">
      <c r="A153" t="s">
        <v>132</v>
      </c>
      <c r="B153" t="s">
        <v>21</v>
      </c>
      <c r="C153" s="2" t="b">
        <v>1</v>
      </c>
      <c r="D153" s="2" t="b">
        <v>0</v>
      </c>
      <c r="F153" t="str">
        <f>IF(D153,IF(E153="","Pending SME Input",E153&amp;" (SME Override)"),IF(C153,"Fail","Pass"))</f>
        <v>Fail</v>
      </c>
    </row>
  </sheetData>
  <autoFilter ref="A1:G153" xr:uid="{38FA75DD-C643-4364-845A-99F213533AF3}">
    <sortState xmlns:xlrd2="http://schemas.microsoft.com/office/spreadsheetml/2017/richdata2" ref="A30:G145">
      <sortCondition ref="A1:A153"/>
    </sortState>
  </autoFilter>
  <conditionalFormatting sqref="F1:F1048576 G1">
    <cfRule type="cellIs" dxfId="12" priority="1" operator="equal">
      <formula>"Fail (SME Override)"</formula>
    </cfRule>
    <cfRule type="cellIs" dxfId="11" priority="2" operator="equal">
      <formula>"Pass (SME Override)"</formula>
    </cfRule>
    <cfRule type="cellIs" dxfId="10" priority="3" operator="equal">
      <formula>"Pending SME Input"</formula>
    </cfRule>
    <cfRule type="cellIs" dxfId="9" priority="8" operator="equal">
      <formula>"Pending SME Input"</formula>
    </cfRule>
    <cfRule type="cellIs" dxfId="8" priority="9" operator="equal">
      <formula>"Fail"</formula>
    </cfRule>
    <cfRule type="cellIs" dxfId="7" priority="10" operator="equal">
      <formula>"Pass"</formula>
    </cfRule>
  </conditionalFormatting>
  <conditionalFormatting sqref="F2:F153">
    <cfRule type="cellIs" dxfId="6" priority="7" operator="equal">
      <formula>"Fail (SME Override)"</formula>
    </cfRule>
  </conditionalFormatting>
  <dataValidations count="2">
    <dataValidation type="list" allowBlank="1" showInputMessage="1" showErrorMessage="1" sqref="B1:B1048576" xr:uid="{A141D47B-CEE0-47CD-88FE-2B3926379606}">
      <formula1>$L$3:$L$11</formula1>
    </dataValidation>
    <dataValidation type="list" allowBlank="1" showInputMessage="1" showErrorMessage="1" sqref="E1:E1048576" xr:uid="{840D80A0-29AE-4F3C-891D-E88C6B44D082}">
      <formula1>$N$2:$N$3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8691-132F-4264-9FC8-FF16DB9BD3D0}">
  <dimension ref="C2:D10"/>
  <sheetViews>
    <sheetView tabSelected="1" zoomScale="96" workbookViewId="0">
      <selection activeCell="P10" sqref="P10"/>
    </sheetView>
  </sheetViews>
  <sheetFormatPr defaultRowHeight="15" x14ac:dyDescent="0.25"/>
  <cols>
    <col min="3" max="3" width="30.5703125" customWidth="1"/>
    <col min="4" max="4" width="22.28515625" customWidth="1"/>
  </cols>
  <sheetData>
    <row r="2" spans="3:4" ht="18.75" x14ac:dyDescent="0.3">
      <c r="C2" s="9" t="s">
        <v>14</v>
      </c>
    </row>
    <row r="4" spans="3:4" x14ac:dyDescent="0.25">
      <c r="C4" s="6" t="s">
        <v>10</v>
      </c>
      <c r="D4" s="6" t="s">
        <v>11</v>
      </c>
    </row>
    <row r="5" spans="3:4" x14ac:dyDescent="0.25">
      <c r="C5" s="7" t="s">
        <v>19</v>
      </c>
      <c r="D5" s="7" cm="1">
        <f t="array" ref="D5">SUM(COUNTIF('QA Gate '!B:B, {"Mean WE Thickness","Max Thickness"}))</f>
        <v>5</v>
      </c>
    </row>
    <row r="6" spans="3:4" x14ac:dyDescent="0.25">
      <c r="C6" s="7" t="s">
        <v>12</v>
      </c>
      <c r="D6" s="7" cm="1">
        <f t="array" ref="D6">SUM(COUNTIF('QA Gate '!B:B, {"Fibre","Fibres","Lumps"}))</f>
        <v>2</v>
      </c>
    </row>
    <row r="7" spans="3:4" x14ac:dyDescent="0.25">
      <c r="C7" s="7" t="s">
        <v>13</v>
      </c>
      <c r="D7" s="7" cm="1">
        <f t="array" ref="D7">SUM(COUNTIF('QA Gate '!B:B, {"Two Needles Shown on Image","Measurement Error","Missing Image"}))</f>
        <v>1</v>
      </c>
    </row>
    <row r="8" spans="3:4" x14ac:dyDescent="0.25">
      <c r="C8" s="7" t="s">
        <v>22</v>
      </c>
      <c r="D8" s="7" cm="1">
        <f t="array" ref="D8">SUM(COUNTIF('QA Gate '!B:B, {"Sensor Removed","Missing Image"}))</f>
        <v>25</v>
      </c>
    </row>
    <row r="10" spans="3:4" x14ac:dyDescent="0.25">
      <c r="C10" t="s">
        <v>177</v>
      </c>
      <c r="D10">
        <f>SUM(D5:D8)</f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13a55e-cedb-4975-97df-8f93596039ec" xsi:nil="true"/>
    <pc7d14190aa9494aa10b539d07346ac2 xmlns="31dcf42c-cd52-4e05-91cc-57de501220c2">
      <Terms xmlns="http://schemas.microsoft.com/office/infopath/2007/PartnerControls"/>
    </pc7d14190aa9494aa10b539d07346ac2>
    <lcf76f155ced4ddcb4097134ff3c332f xmlns="31dcf42c-cd52-4e05-91cc-57de501220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E63AD5A533143870D7C738E648C4D" ma:contentTypeVersion="21" ma:contentTypeDescription="Create a new document." ma:contentTypeScope="" ma:versionID="dfdac8d47bd41fd4a6c8d72169fae136">
  <xsd:schema xmlns:xsd="http://www.w3.org/2001/XMLSchema" xmlns:xs="http://www.w3.org/2001/XMLSchema" xmlns:p="http://schemas.microsoft.com/office/2006/metadata/properties" xmlns:ns2="31dcf42c-cd52-4e05-91cc-57de501220c2" xmlns:ns3="1613a55e-cedb-4975-97df-8f93596039ec" targetNamespace="http://schemas.microsoft.com/office/2006/metadata/properties" ma:root="true" ma:fieldsID="169189252d40b27e10661dd389349a63" ns2:_="" ns3:_="">
    <xsd:import namespace="31dcf42c-cd52-4e05-91cc-57de501220c2"/>
    <xsd:import namespace="1613a55e-cedb-4975-97df-8f9359603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c7d14190aa9494aa10b539d07346ac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cf42c-cd52-4e05-91cc-57de50122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b7bac50-0e9c-4835-9fca-e7d673377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c7d14190aa9494aa10b539d07346ac2" ma:index="27" nillable="true" ma:taxonomy="true" ma:internalName="pc7d14190aa9494aa10b539d07346ac2" ma:taxonomyFieldName="Department" ma:displayName="Department" ma:default="" ma:fieldId="{9c7d1419-0aa9-494a-a10b-539d07346ac2}" ma:sspId="9b7bac50-0e9c-4835-9fca-e7d673377e49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3a55e-cedb-4975-97df-8f9359603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e1ca613-0703-4795-99ee-1a183922076b}" ma:internalName="TaxCatchAll" ma:showField="CatchAllData" ma:web="1613a55e-cedb-4975-97df-8f9359603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771D0-B54A-44FA-9C21-AAED61C9F217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1613a55e-cedb-4975-97df-8f93596039ec"/>
    <ds:schemaRef ds:uri="http://schemas.openxmlformats.org/package/2006/metadata/core-properties"/>
    <ds:schemaRef ds:uri="31dcf42c-cd52-4e05-91cc-57de501220c2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F626A50-3B25-46E0-A32D-78598A2928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A7175-F3F2-453C-B30B-E79489CE4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cf42c-cd52-4e05-91cc-57de501220c2"/>
    <ds:schemaRef ds:uri="1613a55e-cedb-4975-97df-8f9359603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Gate </vt:lpstr>
      <vt:lpstr>Failure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Chappell Facuse</dc:creator>
  <cp:lastModifiedBy>Grace Chappell Facuse</cp:lastModifiedBy>
  <dcterms:created xsi:type="dcterms:W3CDTF">2025-11-25T11:59:15Z</dcterms:created>
  <dcterms:modified xsi:type="dcterms:W3CDTF">2026-01-13T16:28:09Z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0x0101003EAE63AD5A533143870D7C738E648C4D</vt:lpwstr>
  </property>
</Properties>
</file>